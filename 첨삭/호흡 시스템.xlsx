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BreathSystem\첨삭\"/>
    </mc:Choice>
  </mc:AlternateContent>
  <x:bookViews>
    <x:workbookView xWindow="0" yWindow="0" windowWidth="21345" windowHeight="8640" activeTab="2"/>
  </x:bookViews>
  <x:sheets>
    <x:sheet name="01_시스템데이터" sheetId="1" r:id="rId4"/>
    <x:sheet name="02_콘텐츠적용" sheetId="2" r:id="rId5"/>
    <x:sheet name="03_계산검증" sheetId="3" r:id="rId6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A10:A10" authorId="0">
      <x:text>
        <x:r>
          <x:rPr>
            <x:rFont val="맑은 고딕"/>
            <x:sz val="10"/>
            <x:color rgb="ff000000"/>
          </x:rPr>
          <x:t>호흡량 상한(100)에 도달한 뒤에도 들숨 입력을 계속 유지하는 과잉 조작을 제한하기 위한 장치</x:t>
        </x:r>
      </x:text>
    </x:comment>
    <x:comment ref="A11:A11" authorId="0">
      <x:text>
        <x:r>
          <x:rPr>
            <x:rFont val="맑은 고딕"/>
            <x:sz val="10"/>
            <x:color rgb="ff000000"/>
          </x:rPr>
          <x:t>호흡량 0 상태에서 숨 참기 입력을 새로 유지해 추가로 호흡량을 소모하려는 조작을 제한하기 위한 장치</x:t>
        </x:r>
      </x:text>
    </x:comment>
    <x:comment ref="A12:A12" authorId="0">
      <x:text>
        <x:r>
          <x:rPr>
            <x:rFont val="맑은 고딕"/>
            <x:sz val="10"/>
            <x:color rgb="ff000000"/>
          </x:rPr>
          <x:t>호흡량 0 상태에서 날숨 입력을 새로 유지해 추가로 호흡량을 소모하려는 조작을 제한하기 위한 장치</x:t>
        </x:r>
      </x:text>
    </x:comment>
    <x:comment ref="A21:A21" authorId="0">
      <x:text>
        <x:r>
          <x:rPr>
            <x:rFont val="맑은 고딕"/>
            <x:sz val="10"/>
            <x:color rgb="ff000000"/>
          </x:rPr>
          <x:t>불 인형이 3단계에 도달하면 자극 공기 중심의 위험이 유해 공기 위험으로 전환됨.
단계 변화에 맞춰 빠른 이탈·우회 판단을 요구하기 위한 환경 변화 요소</x:t>
        </x:r>
      </x:text>
    </x:comment>
    <x:comment ref="A29:A29" authorId="0">
      <x:text>
        <x:r>
          <x:rPr>
            <x:rFont val="맑은 고딕"/>
            <x:sz val="10"/>
            <x:color rgb="ff000000"/>
          </x:rPr>
          <x:t>자극도와 오염도는 서로 독립적으로 누적됨. 한 게이지만 이상 기준에 도달하면 이동 속도 50%, 두 게이지가 모두 이상 상태이면 복합 이상으로 이동 속도 35% 적용. 같은 계열의 환경으로 이동할 경우 기존 게이지 수치에서 계속 누적되며, 다른 계열의 위험 환경으로 이동하더라도 안전 환경을 거치지 않았다면 이전 게이지 수치는 유지됨.
예) 먼지에서 자극도 20 누적 → 꽃가루 진입 시 자극도 20부터 계속 누적</x:t>
        </x:r>
      </x:text>
    </x:comment>
    <x:comment ref="A47:A47" authorId="0">
      <x:text>
        <x:r>
          <x:rPr>
            <x:rFont val="맑은 고딕"/>
            <x:sz val="10"/>
            <x:color rgb="ff000000"/>
          </x:rPr>
          <x:t>플레이어가 이상 상태·과흡입·강제 호흡을 해결하기 위해 수중 환경으로 도피하는 경우를 막기 위한 장치이상 상태·과흡입·강제 호흡 중 수중 진입으로 기존 상태를 우회하거나 강제 종료하는 플레이를 방지하고, 수중 판정과 기존 상태 판정의 충돌을 막기 위한 안전 장치</x:t>
        </x:r>
      </x:text>
    </x:comment>
    <x:comment ref="A48:A48" authorId="0">
      <x:text>
        <x:r>
          <x:rPr>
            <x:rFont val="맑은 고딕"/>
            <x:sz val="10"/>
            <x:color rgb="ff000000"/>
          </x:rPr>
          <x:t>이상 상태를 호흡 실패 이벤트보다 우선 처리하여, 모션·사운드·상태 판정이 중복 적용 되는 것을 방지하기 위한 우선 순위 규칙</x:t>
        </x:r>
      </x:text>
    </x:comment>
    <x:comment ref="C2:C2" authorId="0">
      <x:text>
        <x:r>
          <x:rPr>
            <x:rFont val="맑은 고딕"/>
            <x:sz val="10"/>
            <x:color rgb="ff000000"/>
          </x:rPr>
          <x:t>양수 = 호흡량 증가
0 = 변화 없음 
음수 = 호흡량 감소
호흡량 범위는 0~100</x:t>
        </x:r>
      </x:text>
    </x:comment>
    <x:comment ref="D2:D2" authorId="0">
      <x:text>
        <x:r>
          <x:rPr>
            <x:rFont val="맑은 고딕"/>
            <x:sz val="10"/>
            <x:color rgb="ff000000"/>
          </x:rPr>
          <x:t>행동 발생 시 적의 청각 판정에 사용되는 기본 소리 반경.
0m는 소리가 발생하지 않음을 의미</x:t>
        </x:r>
      </x:text>
    </x:comment>
    <x:comment ref="E2:E2" authorId="0">
      <x:text>
        <x:r>
          <x:rPr>
            <x:rFont val="맑은 고딕"/>
            <x:sz val="10"/>
            <x:color rgb="ff000000"/>
          </x:rPr>
          <x:t>0 = 위험 공기 흡입 차단
0.5 = 기본 변화량의 50% 적용
1 = 기본 변화량 100% 적용</x:t>
        </x:r>
      </x:text>
    </x:comment>
    <x:comment ref="C9:C9" authorId="0">
      <x:text>
        <x:r>
          <x:rPr>
            <x:rFont val="맑은 고딕"/>
            <x:sz val="10"/>
            <x:color rgb="ff000000"/>
          </x:rPr>
          <x:t>실패 조건에 도달한 직후 즉시 실패하지 않고 입력을 유지할 수 있는 시간</x:t>
        </x:r>
      </x:text>
    </x:comment>
    <x:comment ref="G2:G2" authorId="0">
      <x:text>
        <x:r>
          <x:rPr>
            <x:rFont val="맑은 고딕"/>
            <x:sz val="10"/>
            <x:color rgb="ff000000"/>
          </x:rPr>
          <x:t>호흡 행동 간 입력 전환, 키 해제, 호흡량 상·하한 도달 시의 상태 전환 규칙</x:t>
        </x:r>
      </x:text>
    </x:comment>
    <x:comment ref="D9:D9" authorId="0">
      <x:text>
        <x:r>
          <x:rPr>
            <x:rFont val="맑은 고딕"/>
            <x:sz val="10"/>
            <x:color rgb="ff000000"/>
          </x:rPr>
          <x:t>실패 이벤트가 실제 발생한 뒤 플레이어가 직접 호흡 행동을 조작할 수 없는 시간</x:t>
        </x:r>
      </x:text>
    </x:comment>
    <x:comment ref="B15:B15" authorId="0">
      <x:text>
        <x:r>
          <x:rPr>
            <x:rFont val="맑은 고딕"/>
            <x:sz val="10"/>
            <x:color rgb="ff000000"/>
          </x:rPr>
          <x:t>안전 / 자극 환경 / 오염 환경 / 특수 환경으로 분류. 자극 환경은 자극도, 오염 환경은 오염도에 영향.</x:t>
        </x:r>
      </x:text>
    </x:comment>
    <x:comment ref="C15:C15" authorId="0">
      <x:text>
        <x:r>
          <x:rPr>
            <x:rFont val="맑은 고딕"/>
            <x:sz val="10"/>
            <x:color rgb="ff000000"/>
          </x:rPr>
          <x:t>환경에 따라 자극도·오염도·호흡량 중 적용되는 자원을 표시.</x:t>
        </x:r>
      </x:text>
    </x:comment>
    <x:comment ref="D15:D15" authorId="0">
      <x:text>
        <x:r>
          <x:rPr>
            <x:rFont val="맑은 고딕"/>
            <x:sz val="10"/>
            <x:color rgb="ff000000"/>
          </x:rPr>
          <x:t>양수 = 게이지 누적
음수 = 회복
"-" = 고정 변화량 대신 별도 규칙 적용.</x:t>
        </x:r>
      </x:text>
    </x:comment>
    <x:comment ref="E15:E15" authorId="0">
      <x:text>
        <x:r>
          <x:rPr>
            <x:rFont val="맑은 고딕"/>
            <x:sz val="10"/>
            <x:color rgb="ff000000"/>
          </x:rPr>
          <x:t>위험 환경을 벗어나 안전 공기에 진입했을 때 적용되는 회복 속도.</x:t>
        </x:r>
      </x:text>
    </x:comment>
    <x:comment ref="F15:F15" authorId="0">
      <x:text>
        <x:r>
          <x:rPr>
            <x:rFont val="맑은 고딕"/>
            <x:sz val="10"/>
            <x:color rgb="ff000000"/>
          </x:rPr>
          <x:t>게이지 도달값에 따른 상태 변화 기준.
자극도 100 → 이상 상태
오염도 50 → 이상 상태
오염도 100 → 사망</x:t>
        </x:r>
      </x:text>
    </x:comment>
    <x:comment ref="G15:G15" authorId="0">
      <x:text>
        <x:r>
          <x:rPr>
            <x:rFont val="맑은 고딕"/>
            <x:sz val="10"/>
            <x:color rgb="ff000000"/>
          </x:rPr>
          <x:t>자극도와 오염도는 독립적으로 누적. 동일 종류 위험원이 중첩될 경우, 변화량을 합산하지 않고 가장 높은 값 1개만 적용.</x:t>
        </x:r>
      </x:text>
    </x:comment>
    <x:comment ref="D26:D26" authorId="0">
      <x:text>
        <x:r>
          <x:rPr>
            <x:rFont val="맑은 고딕"/>
            <x:sz val="10"/>
            <x:color rgb="ff000000"/>
          </x:rPr>
          <x:t>정상 이동 속도를 100%로 본 상대값.
예: 50% = 정상 이동 속도의 절반.</x:t>
        </x:r>
      </x:text>
    </x:comment>
    <x:comment ref="E26:E26" authorId="0">
      <x:text>
        <x:r>
          <x:rPr>
            <x:rFont val="맑은 고딕"/>
            <x:sz val="10"/>
            <x:color rgb="ff000000"/>
          </x:rPr>
          <x:t>이상 상태 지속 중 반복적으로 기침 소리 이벤트가 발생하는 간격.</x:t>
        </x:r>
      </x:text>
    </x:comment>
    <x:comment ref="D41:D41" authorId="0">
      <x:text>
        <x:r>
          <x:rPr>
            <x:rFont val="맑은 고딕"/>
            <x:sz val="10"/>
            <x:color rgb="ff000000"/>
          </x:rPr>
          <x:t>소리 반경에 곱해지는 몬스터별 청각 배율.</x:t>
        </x:r>
      </x:text>
    </x:comment>
    <x:comment ref="E41:E41" authorId="0">
      <x:text>
        <x:r>
          <x:rPr>
            <x:rFont val="맑은 고딕"/>
            <x:sz val="10"/>
            <x:color rgb="ff000000"/>
          </x:rPr>
          <x:t>청각 민감도를 적용하더라도 이 값을 초과해서 소리를 감지하지 않음.</x:t>
        </x:r>
      </x:text>
    </x:comment>
    <x:comment ref="E46:E46" authorId="0">
      <x:text>
        <x:r>
          <x:rPr>
            <x:rFont val="맑은 고딕"/>
            <x:sz val="10"/>
            <x:color rgb="ff000000"/>
          </x:rPr>
          <x:t>복수 상태가 동시에 발생할 수 있을 때 먼저 적용할 판정을 표시.
"&gt;" 왼쪽 상태가 오른쪽보다 우선.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F15:F15" authorId="0">
      <x:text>
        <x:r>
          <x:rPr>
            <x:rFont val="맑은 고딕"/>
            <x:sz val="10"/>
            <x:color rgb="ff000000"/>
          </x:rPr>
          <x:t>청각 민감도는 소리 반경에 곱해지며, 최종 감지 거리는 최대 청각 거리 14m를 넘지 않음.</x:t>
        </x:r>
      </x:text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B6:B6" authorId="0">
      <x:text>
        <x:r>
          <x:rPr>
            <x:rFont val="맑은 고딕"/>
            <x:sz val="10"/>
            <x:color rgb="ff000000"/>
          </x:rPr>
          <x:t>입력 범위: 0~100.
실제 플레이에서는 평상 호흡 상태의 호흡량은 원칙적으로 0.</x:t>
        </x:r>
      </x:text>
    </x:comment>
    <x:comment ref="B7:B7" authorId="0">
      <x:text>
        <x:r>
          <x:rPr>
            <x:rFont val="맑은 고딕"/>
            <x:sz val="10"/>
            <x:color rgb="ff000000"/>
          </x:rPr>
          <x:t>평상 호흡 / 들숨 / 참기 / 날숨 중 선택.
선택값에 따라 호흡량 변화와 위험 공기 흡입 배율이 자동 적용됨.</x:t>
        </x:r>
      </x:text>
    </x:comment>
    <x:comment ref="B8:B8" authorId="0">
      <x:text>
        <x:r>
          <x:rPr>
            <x:rFont val="맑은 고딕"/>
            <x:sz val="10"/>
            <x:color rgb="ff000000"/>
          </x:rPr>
          <x:t>위험 환경만 선택 가능.
먼지·꽃가루·연기 = 자극도
유해 연기·독가스 = 오염도</x:t>
        </x:r>
      </x:text>
    </x:comment>
    <x:comment ref="B9:B9" authorId="0">
      <x:text>
        <x:r>
          <x:rPr>
            <x:rFont val="맑은 고딕"/>
            <x:sz val="10"/>
            <x:color rgb="ff000000"/>
          </x:rPr>
          <x:t>입력 범위: 0~100.
100 도달 시 이상 상태</x:t>
        </x:r>
      </x:text>
    </x:comment>
    <x:comment ref="B10:B10" authorId="0">
      <x:text>
        <x:r>
          <x:rPr>
            <x:rFont val="맑은 고딕"/>
            <x:sz val="10"/>
            <x:color rgb="ff000000"/>
          </x:rPr>
          <x:t>입렵 범위: 0~100.
50 이상: 이상 상태
100 도달: 사망</x:t>
        </x:r>
      </x:text>
    </x:comment>
    <x:comment ref="B11:B11" authorId="0">
      <x:text>
        <x:r>
          <x:rPr>
            <x:rFont val="맑은 고딕"/>
            <x:sz val="10"/>
            <x:color rgb="ff000000"/>
          </x:rPr>
          <x:t>현재 상태에서의 실제 이동 속도(m/s)를 입력</x:t>
        </x:r>
      </x:text>
    </x:comment>
    <x:comment ref="B12:B12" authorId="0">
      <x:text>
        <x:r>
          <x:rPr>
            <x:rFont val="맑은 고딕"/>
            <x:sz val="10"/>
            <x:color rgb="ff000000"/>
          </x:rPr>
          <x:t>검증하려는 위험 구간의 시작점~종료점 거리.</x:t>
        </x:r>
      </x:text>
    </x:comment>
    <x:comment ref="H6:H6" authorId="0">
      <x:text>
        <x:r>
          <x:rPr>
            <x:rFont val="맑은 고딕"/>
            <x:sz val="10"/>
            <x:color rgb="ff000000"/>
          </x:rPr>
          <x:t>선택한 행동의 기본 소리 반경을 시스템 데이터에서 불러옴.</x:t>
        </x:r>
      </x:text>
    </x:comment>
    <x:comment ref="H7:H7" authorId="0">
      <x:text>
        <x:r>
          <x:rPr>
            <x:rFont val="맑은 고딕"/>
            <x:sz val="10"/>
            <x:color rgb="ff000000"/>
          </x:rPr>
          <x:t>일반 인형 / 눈 없는 인형.
적 유형에 따라 청각 민감도와 최대 감지 거리가 변경됨.</x:t>
        </x:r>
      </x:text>
    </x:comment>
    <x:comment ref="H8:H8" authorId="0">
      <x:text>
        <x:r>
          <x:rPr>
            <x:rFont val="맑은 고딕"/>
            <x:sz val="10"/>
            <x:color rgb="ff000000"/>
          </x:rPr>
          <x:t>0 이상의 거리(m).
유효 소리 감지 거리 이하이면 소리 감지.</x:t>
        </x:r>
      </x:text>
    </x:comment>
    <x:comment ref="K9:K9" authorId="0">
      <x:text>
        <x:r>
          <x:rPr>
            <x:rFont val="맑은 고딕"/>
            <x:sz val="10"/>
            <x:color rgb="ff000000"/>
          </x:rPr>
          <x:t>min(기본 소리 반경×청각 민감도, 최대 청각 거리)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<x:sst xmlns:r="http://schemas.openxmlformats.org/officeDocument/2006/relationships" xmlns:c="http://schemas.openxmlformats.org/drawingml/2006/chart" xmlns:x="http://schemas.openxmlformats.org/spreadsheetml/2006/main" count="351" uniqueCount="286">
  <x:si>
    <x:t>입력 유지 중 감소 / 다른 행동 입력 시 전환 /
키 해제 시 자동 날숨 / 0 도달 시 평상 호흡</x:t>
  </x:si>
  <x:si>
    <x:t>일반 인형 구간</x:t>
  </x:si>
  <x:si>
    <x:t>상한 초과 조작</x:t>
  </x:si>
  <x:si>
    <x:t>1. 기본 호흡 행동</x:t>
  </x:si>
  <x:si>
    <x:t>오염도 50 이상</x:t>
  </x:si>
  <x:si>
    <x:t>2. 소리 감지 검증</x:t>
  </x:si>
  <x:si>
    <x:t>4. 이상 상태</x:t>
  </x:si>
  <x:si>
    <x:t>해당 행동 유지 중</x:t>
  </x:si>
  <x:si>
    <x:t>적·위험 공기 없음</x:t>
  </x:si>
  <x:si>
    <x:t>불 인형 1단계</x:t>
  </x:si>
  <x:si>
    <x:t>위험 공기 흡입 배율</x:t>
  </x:si>
  <x:si>
    <x:t>호흡량 변화(/s)</x:t>
  </x:si>
  <x:si>
    <x:t>기본 변화량(/s)</x:t>
  </x:si>
  <x:si>
    <x:t>최대 청각 거리(m)</x:t>
  </x:si>
  <x:si>
    <x:t>기침 소리 반경(m)</x:t>
  </x:si>
  <x:si>
    <x:t>눈 없는 인형 구간</x:t>
  </x:si>
  <x:si>
    <x:t>반투명 환경 영역</x:t>
  </x:si>
  <x:si>
    <x:t>불 인형 초기 단계</x:t>
  </x:si>
  <x:si>
    <x:t>작동 후 영구 유지</x:t>
  </x:si>
  <x:si>
    <x:t>불 인형 3단계</x:t>
  </x:si>
  <x:si>
    <x:t>호흡량 0 : 익사</x:t>
  </x:si>
  <x:si>
    <x:t>불 인형 2단계</x:t>
  </x:si>
  <x:si>
    <x:t>이동속도(m/s)</x:t>
  </x:si>
  <x:si>
    <x:t>기본 소리 반경(m)</x:t>
  </x:si>
  <x:si>
    <x:t>1. 구간 통과 검증</x:t>
  </x:si>
  <x:si>
    <x:t>날숨 강제 호흡</x:t>
  </x:si>
  <x:si>
    <x:t>지속 시간(s)</x:t>
  </x:si>
  <x:si>
    <x:t>유예 시간(s)</x:t>
  </x:si>
  <x:si>
    <x:t>기본 누적 +20/s</x:t>
  </x:si>
  <x:si>
    <x:t>시스템 변화·효과</x:t>
  </x:si>
  <x:si>
    <x:t>100 : 자극 이상</x:t>
  </x:si>
  <x:si>
    <x:t>입력·자동 전환 규칙</x:t>
  </x:si>
  <x:si>
    <x:t>청각 중심 표시</x:t>
  </x:si>
  <x:si>
    <x:t>시야 거리(m)</x:t>
  </x:si>
  <x:si>
    <x:t>고정 수치 여부</x:t>
  </x:si>
  <x:si>
    <x:t>호흡량 생존 자원화</x:t>
  </x:si>
  <x:si>
    <x:t>수중 호흡 규칙 적용</x:t>
  </x:si>
  <x:si>
    <x:t>소리 발생 방식</x:t>
  </x:si>
  <x:si>
    <x:t>구간 거리(m)</x:t>
  </x:si>
  <x:si>
    <x:t>호흡 행동 연계</x:t>
  </x:si>
  <x:si>
    <x:t>BREATH_HOLD</x:t>
  </x:si>
  <x:si>
    <x:t>불 인형 최종 성장</x:t>
  </x:si>
  <x:si>
    <x:t>계산·검증 시트</x:t>
  </x:si>
  <x:si>
    <x:t>발생 / 적용 조건</x:t>
  </x:si>
  <x:si>
    <x:t>AI 감지 수치 고정</x:t>
  </x:si>
  <x:si>
    <x:t>소리 감지 결과</x:t>
  </x:si>
  <x:si>
    <x:t>자극 공기 구간</x:t>
  </x:si>
  <x:si>
    <x:t>안전 지점 아이콘</x:t>
  </x:si>
  <x:si>
    <x:t>플레이어 핵심 행동</x:t>
  </x:si>
  <x:si>
    <x:t>소리 반경(m)</x:t>
  </x:si>
  <x:si>
    <x:t>2. 맵 적용 기준</x:t>
  </x:si>
  <x:si>
    <x:t>호흡 / 소리 행동</x:t>
  </x:si>
  <x:si>
    <x:t>호흡량·재호흡 위치</x:t>
  </x:si>
  <x:si>
    <x:t>주요 자원 판단</x:t>
  </x:si>
  <x:si>
    <x:t>호흡량·환경 게이지</x:t>
  </x:si>
  <x:si>
    <x:t>다음 구간 준비</x:t>
  </x:si>
  <x:si>
    <x:t>적 + 위험 공기</x:t>
  </x:si>
  <x:si>
    <x:t>들숨·회복 후 재진입</x:t>
  </x:si>
  <x:si>
    <x:t>안전하게 돌아가기</x:t>
  </x:si>
  <x:si>
    <x:t>붉은 위험 구간</x:t>
  </x:si>
  <x:si>
    <x:t>안전 공기 + 엄폐</x:t>
  </x:si>
  <x:si>
    <x:t>특수 환경</x:t>
  </x:si>
  <x:si>
    <x:t>자극도 회복</x:t>
  </x:si>
  <x:si>
    <x:t>호흡 처리</x:t>
  </x:si>
  <x:si>
    <x:t>환기 장치</x:t>
  </x:si>
  <x:si>
    <x:t>적용 시스템</x:t>
  </x:si>
  <x:si>
    <x:t>오염 이상</x:t>
  </x:si>
  <x:si>
    <x:t>현재 자극도</x:t>
  </x:si>
  <x:si>
    <x:t>안전 공기</x:t>
  </x:si>
  <x:si>
    <x:t>정상의 35%</x:t>
  </x:si>
  <x:si>
    <x:t>현재 호흡량</x:t>
  </x:si>
  <x:si>
    <x:t>방치 / 회피</x:t>
  </x:si>
  <x:si>
    <x:t>일반 인형</x:t>
  </x:si>
  <x:si>
    <x:t>산출 항목</x:t>
  </x:si>
  <x:si>
    <x:t>현재 오염도</x:t>
  </x:si>
  <x:si>
    <x:t>호흡 행동</x:t>
  </x:si>
  <x:si>
    <x:t>해제 조건</x:t>
  </x:si>
  <x:si>
    <x:t>권장 표현</x:t>
  </x:si>
  <x:si>
    <x:t>정상의 50%</x:t>
  </x:si>
  <x:si>
    <x:t>이동 속도</x:t>
  </x:si>
  <x:si>
    <x:t>환경 조작</x:t>
  </x:si>
  <x:si>
    <x:t>1초마다 1회</x:t>
  </x:si>
  <x:si>
    <x:t>착지 시 1회</x:t>
  </x:si>
  <x:si>
    <x:t>복합 이상</x:t>
  </x:si>
  <x:si>
    <x:t>사다리 이동</x:t>
  </x:si>
  <x:si>
    <x:t>환경 변화</x:t>
  </x:si>
  <x:si>
    <x:t>시야 + 소리</x:t>
  </x:si>
  <x:si>
    <x:t>자극도 100</x:t>
  </x:si>
  <x:si>
    <x:t>자극 공기</x:t>
  </x:si>
  <x:si>
    <x:t>오염도 회복</x:t>
  </x:si>
  <x:si>
    <x:t>호흡 목적</x:t>
  </x:si>
  <x:si>
    <x:t>불 인형 성장</x:t>
  </x:si>
  <x:si>
    <x:t>지속 / 해제</x:t>
  </x:si>
  <x:si>
    <x:t>청각 민감도</x:t>
  </x:si>
  <x:si>
    <x:t>안전 구역</x:t>
  </x:si>
  <x:si>
    <x:t>플레이 선택</x:t>
  </x:si>
  <x:si>
    <x:t>PPT 표현</x:t>
  </x:si>
  <x:si>
    <x:t>은신 / 판별</x:t>
  </x:si>
  <x:si>
    <x:t>예외 상황</x:t>
  </x:si>
  <x:si>
    <x:t>점프 착지</x:t>
  </x:si>
  <x:si>
    <x:t>적용 규칙</x:t>
  </x:si>
  <x:si>
    <x:t>호흡량 확보</x:t>
  </x:si>
  <x:si>
    <x:t>검증 항목</x:t>
  </x:si>
  <x:si>
    <x:t>우선 규칙</x:t>
  </x:si>
  <x:si>
    <x:t>눈 없는 인형</x:t>
  </x:si>
  <x:si>
    <x:t>배치 요소</x:t>
  </x:si>
  <x:si>
    <x:t>장치 작동</x:t>
  </x:si>
  <x:si>
    <x:t>자극 이상</x:t>
  </x:si>
  <x:si>
    <x:t>재준비 지점</x:t>
  </x:si>
  <x:si>
    <x:t>핵심 역할</x:t>
  </x:si>
  <x:si>
    <x:t>입력 항목</x:t>
  </x:si>
  <x:si>
    <x:t>임계/사망</x:t>
  </x:si>
  <x:si>
    <x:t>경로 유형</x:t>
  </x:si>
  <x:si>
    <x:t>우회 경로</x:t>
  </x:si>
  <x:si>
    <x:t>수중 구간</x:t>
  </x:si>
  <x:si>
    <x:t>주요 판단</x:t>
  </x:si>
  <x:si>
    <x:t>안전 아이콘</x:t>
  </x:si>
  <x:si>
    <x:t>이동 행동</x:t>
  </x:si>
  <x:si>
    <x:t>통과 불가능</x:t>
  </x:si>
  <x:si>
    <x:t>유해 연기</x:t>
  </x:si>
  <x:si>
    <x:t>직선 경로</x:t>
  </x:si>
  <x:si>
    <x:t>빠르게 통과</x:t>
  </x:si>
  <x:si>
    <x:t>웅크려 이동</x:t>
  </x:si>
  <x:si>
    <x:t>기침 주기</x:t>
  </x:si>
  <x:si>
    <x:t>발생 조건</x:t>
  </x:si>
  <x:si>
    <x:t>이벤트명</x:t>
  </x:si>
  <x:si>
    <x:t>3단계 유지</x:t>
  </x:si>
  <x:si>
    <x:t>무소음 이동</x:t>
  </x:si>
  <x:si>
    <x:t>이동 중 반복</x:t>
  </x:si>
  <x:si>
    <x:t>종료 후</x:t>
  </x:si>
  <x:si>
    <x:t>감지 판정</x:t>
  </x:si>
  <x:si>
    <x:t>감지 방식</x:t>
  </x:si>
  <x:si>
    <x:t>적 유형</x:t>
  </x:si>
  <x:si>
    <x:t>즉시 익사</x:t>
  </x:si>
  <x:si>
    <x:t>평상 호흡</x:t>
  </x:si>
  <x:si>
    <x:t>환경 게이지</x:t>
  </x:si>
  <x:si>
    <x:t>특수 조건</x:t>
  </x:si>
  <x:si>
    <x:t xml:space="preserve">사용 방법 ｜ 왼쪽 '입력 항목'의 값을 입력·선택하면, 오른쪽 '산출 항목'의 결과가 자동 계산됩니다. </x:t>
  </x:si>
  <x:si>
    <x:t>참기 유지 · 날숨 여부를 조절하며 다음 공기 지점까지 호흡량 관리</x:t>
  </x:si>
  <x:si>
    <x:t>직접 조작 불가 / 시스템상 평상 호흡 / 호흡량 -50/s → 0</x:t>
  </x:si>
  <x:si>
    <x:t>유해 연기 발생 → 오염도 신규 누적
/ 기존 자극도는 그대로 유지</x:t>
  </x:si>
  <x:si>
    <x:t>들숨</x:t>
  </x:si>
  <x:si>
    <x:t>값</x:t>
  </x:si>
  <x:si>
    <x:t>구분</x:t>
  </x:si>
  <x:si>
    <x:t>결과</x:t>
  </x:si>
  <x:si>
    <x:t>환경</x:t>
  </x:si>
  <x:si>
    <x:t>먼지</x:t>
  </x:si>
  <x:si>
    <x:t/>
  </x:si>
  <x:si>
    <x:t>콘텐츠</x:t>
  </x:si>
  <x:si>
    <x:t>자극도</x:t>
  </x:si>
  <x:si>
    <x:t>달리기</x:t>
  </x:si>
  <x:si>
    <x:t>꽃가루</x:t>
  </x:si>
  <x:si>
    <x:t>소리</x:t>
  </x:si>
  <x:si>
    <x:t>상태</x:t>
  </x:si>
  <x:si>
    <x:t>의도</x:t>
  </x:si>
  <x:si>
    <x:t>안전</x:t>
  </x:si>
  <x:si>
    <x:t>90˚</x:t>
  </x:si>
  <x:si>
    <x:t>오염도</x:t>
  </x:si>
  <x:si>
    <x:t>ID</x:t>
  </x:si>
  <x:si>
    <x:t>미감지</x:t>
  </x:si>
  <x:si>
    <x:t>시야각</x:t>
  </x:si>
  <x:si>
    <x:t>참기</x:t>
  </x:si>
  <x:si>
    <x:t>과흡입</x:t>
  </x:si>
  <x:si>
    <x:t>없음</x:t>
  </x:si>
  <x:si>
    <x:t>걷기</x:t>
  </x:si>
  <x:si>
    <x:t>처리</x:t>
  </x:si>
  <x:si>
    <x:t>적</x:t>
  </x:si>
  <x:si>
    <x:t>수영</x:t>
  </x:si>
  <x:si>
    <x:t>특징</x:t>
  </x:si>
  <x:si>
    <x:t>행동명</x:t>
  </x:si>
  <x:si>
    <x:t>-</x:t>
  </x:si>
  <x:si>
    <x:t>호흡량</x:t>
  </x:si>
  <x:si>
    <x:t>구간</x:t>
  </x:si>
  <x:si>
    <x:t>날숨</x:t>
  </x:si>
  <x:si>
    <x:t>수중</x:t>
  </x:si>
  <x:si>
    <x:t>분류</x:t>
  </x:si>
  <x:si>
    <x:t>위장</x:t>
  </x:si>
  <x:si>
    <x:t>비고</x:t>
  </x:si>
  <x:si>
    <x:t>구성</x:t>
  </x:si>
  <x:si>
    <x:t>독가스</x:t>
  </x:si>
  <x:si>
    <x:t>긴 이동 + 중간 안전 지점</x:t>
  </x:si>
  <x:si>
    <x:t>안전 공기 회복(/s)</x:t>
  </x:si>
  <x:si>
    <x:t>유효 소리 감지 거리(m)</x:t>
  </x:si>
  <x:si>
    <x:t>수중 거리와 잔여 호흡량</x:t>
  </x:si>
  <x:si>
    <x:t>7. 예외 처리 및 안전장치</x:t>
  </x:si>
  <x:si>
    <x:t>거리 김 / 위험 낮음</x:t>
  </x:si>
  <x:si>
    <x:t>1. 시스템 응용 콘텐츠</x:t>
  </x:si>
  <x:si>
    <x:t>3. 선택 경로 적용 기준</x:t>
  </x:si>
  <x:si>
    <x:t>거리 짧음 / 위험 높음</x:t>
  </x:si>
  <x:si>
    <x:t>BREATH_NORMAL</x:t>
  </x:si>
  <x:si>
    <x:t>통과 시간 / 현재 자극도</x:t>
  </x:si>
  <x:si>
    <x:t>BREATH_INHALE</x:t>
  </x:si>
  <x:si>
    <x:t>6. 인형 감지 데이터</x:t>
  </x:si>
  <x:si>
    <x:t>BREATH_EXHALE</x:t>
  </x:si>
  <x:si>
    <x:t>안전 공기에서 오염도 0</x:t>
  </x:si>
  <x:si>
    <x:t>유해 공기·안전 공기·회복</x:t>
  </x:si>
  <x:si>
    <x:t>시간 경과에 따라 다음 단계</x:t>
  </x:si>
  <x:si>
    <x:t>수면 / 공기 주머니 표시</x:t>
  </x:si>
  <x:si>
    <x:t>자극 이상 + 오염 이상</x:t>
  </x:si>
  <x:si>
    <x:t>3. 공기 환경 및 수중</x:t>
  </x:si>
  <x:si>
    <x:t>참기·이동 소리·청각 감지</x:t>
  </x:si>
  <x:si>
    <x:t>현재 행동 기준 통과 판정</x:t>
  </x:si>
  <x:si>
    <x:t>플레이어-적 거리(m)</x:t>
  </x:si>
  <x:si>
    <x:t>2. 호흡 실패 이벤트</x:t>
  </x:si>
  <x:si>
    <x:t>다음 구간까지 필요한 호흡량</x:t>
  </x:si>
  <x:si>
    <x:t>신규 자극도 누적 차단</x:t>
  </x:si>
  <x:si>
    <x:t>먼지·꽃가루·일반 연기</x:t>
  </x:si>
  <x:si>
    <x:t>외형 판별 + 호흡 소리</x:t>
  </x:si>
  <x:si>
    <x:t>호흡량 확보 / 상태 회복</x:t>
  </x:si>
  <x:si>
    <x:t>참기 시 이동 소리 0m</x:t>
  </x:si>
  <x:si>
    <x:t>벽·가구 + 일반 인형</x:t>
  </x:si>
  <x:si>
    <x:t>호흡량 0 / 평상 호흡</x:t>
  </x:si>
  <x:si>
    <x:t>무소음 이동 가능 거리</x:t>
  </x:si>
  <x:si>
    <x:t>중복 상태·소리·모션 방지</x:t>
  </x:si>
  <x:si>
    <x:t>시야 방향 / 순찰 동선</x:t>
  </x:si>
  <x:si>
    <x:t>욕조·침수 공간·공기 주머니</x:t>
  </x:si>
  <x:si>
    <x:t>참기 + 웅크려 이동 유지</x:t>
  </x:si>
  <x:si>
    <x:t>5. 이동 소리 및 특수 조합</x:t>
  </x:si>
  <x:si>
    <x:t>자극 이상까지 남은 시간(s)</x:t>
  </x:si>
  <x:si>
    <x:t>벽 뒤 거리와 소리 감지 거리</x:t>
  </x:si>
  <x:si>
    <x:t>환경 게이지 기본 변화량(/s)</x:t>
  </x:si>
  <x:si>
    <x:t>이상 상태 &gt; 과흡입·강제 호흡</x:t>
  </x:si>
  <x:si>
    <x:t>안전 공기에서 자극도 80 이하</x:t>
  </x:si>
  <x:si>
    <x:t>중복 호흡 판정과 모션 충돌 방지</x:t>
  </x:si>
  <x:si>
    <x:t>참기와 조합 시 이동 소리 0m</x:t>
  </x:si>
  <x:si>
    <x:t>각 게이지의 개별 해제 조건 적용</x:t>
  </x:si>
  <x:si>
    <x:t>기본 호흡 / 위험 공기 소량 흡입</x:t>
  </x:si>
  <x:si>
    <x:t>유해 공기가 존재하는 연구실 등</x:t>
  </x:si>
  <x:si>
    <x:t>청각 특화 / 시야 감지 없음</x:t>
  </x:si>
  <x:si>
    <x:t>오염 이상까지 남은 시간(s)</x:t>
  </x:si>
  <x:si>
    <x:t>호흡량 확보 / 자극·오염 회복</x:t>
  </x:si>
  <x:si>
    <x:t>위험 구간 내 정상 이동 가능 시간</x:t>
  </x:si>
  <x:si>
    <x:t>오염 사망까지 남은 시간(s)</x:t>
  </x:si>
  <x:si>
    <x:t>시야 차단 + 호흡 소리 제어</x:t>
  </x:si>
  <x:si>
    <x:t>숨을 참을 시점과 이동 타이밍</x:t>
  </x:si>
  <x:si>
    <x:t>청각 × 1.5 / 최대 14m</x:t>
  </x:si>
  <x:si>
    <x:t>일반 연기 발생 → 자극도 누적</x:t>
  </x:si>
  <x:si>
    <x:t>회복 시간·다음 구간 필요 호흡량</x:t>
  </x:si>
  <x:si>
    <x:t>다음 위험 구간에 필요한 호흡 준비</x:t>
  </x:si>
  <x:si>
    <x:t>눈 없는 인형 + 엄폐 / 통로</x:t>
  </x:si>
  <x:si>
    <x:t>위장 상태에서 호흡 소리 제어</x:t>
  </x:si>
  <x:si>
    <x:t>현재 행동 유지 가능 시간(s)</x:t>
  </x:si>
  <x:si>
    <x:t>호흡 행동 유지 가능 시간(s)</x:t>
  </x:si>
  <x:si>
    <x:t>오염도 누적 /
안전 공기를 거치지 않고 자극 환경으로 이동 시 현재 오염도 유지</x:t>
  </x:si>
  <x:si>
    <x:t>해당 구역 유해 공기 → 안전 공기로 영구 전환 
/ 이후 안전 공기 회복 규칙 적용</x:t>
  </x:si>
  <x:si>
    <x:t>자극도 누적 /
안전 공기를 거치지 않고 유해 환경으로 이동 시 현재 자극도 유지</x:t>
  </x:si>
  <x:si>
    <x:t>시작 후 호흡량 0까지 자동 진행 / 중도 전환 불가 /
0 도달 시 평상 호흡 전환</x:t>
  </x:si>
  <x:si>
    <x:t>유효 소리 감지 거리 = min(행동 소리 반경 × 인형 청각 민감도, 인형 최대 청각 거리)</x:t>
  </x:si>
  <x:si>
    <x:t>하한 초과 조작 / 
참기 중 호흡량 0 도달 전부터 유지한 입력은 새 입력으로 판정하지 않음</x:t>
  </x:si>
  <x:si>
    <x:t>자극도·오염도 신규 누적·회복 없음 /
참기·날숨은 기존 호흡 행동 규칙 적용 / 들숨 시 호흡량 -100/s</x:t>
  </x:si>
  <x:si>
    <x:t>외형 판별을 통과해도 유효 청각 거리 안의 호흡 소리는 인간 판별 단서가 됨</x:t>
  </x:si>
  <x:si>
    <x:t>입력 유지 중 증가 / 다른 행동 입력 시 전환 /
키 해제 시 자동 날숨</x:t>
  </x:si>
  <x:si>
    <x:t>날숨 중 호흡량 0 도달 전부터 유지한 입력은 새 입력으로 판정하지 않음</x:t>
  </x:si>
  <x:si>
    <x:t>별도 호흡 입력이 없는 기본 상태 / 
참기·날숨 중 호흡량 0 도달 시 전환</x:t>
  </x:si>
  <x:si>
    <x:t>※ 과흡입·강제 호흡 등 실패 이벤트 발생 시간은 구간 통과 계산에서 제외</x:t>
  </x:si>
  <x:si>
    <x:t>오염도 누적 / 불 인형 3단계 진입 시 발생 / 
안전 공기를 거치지 않고 자극 환경으로 이동 시 현재 오염도 유지</x:t>
  </x:si>
  <x:si>
    <x:t>구간 내 행동 가능 시간 = min(호흡 유지 가능 시간, 환경 위험 한계 시간) → 통과 가능 거리 = 이동속도 × 구간 내 행동 가능 시간</x:t>
  </x:si>
  <x:si>
    <x:t>푸른 점선 동선</x:t>
  </x:si>
  <x:si>
    <x:t>참기 강제 호흡</x:t>
  </x:si>
  <x:si>
    <x:t>참기 유지 여부</x:t>
  </x:si>
  <x:si>
    <x:t>참기 + 웅크려 이동</x:t>
  </x:si>
  <x:si>
    <x:t>적의 호흡 소리 감지 차단 / 위험 공기 흡입 차단</x:t>
  </x:si>
  <x:si>
    <x:t>시야 없음 / 청각 민감도 × 1.5 / 최대 14m</x:t>
  </x:si>
  <x:si>
    <x:t>장비 착용 중 / 적대 행동·충돌 등으로 노출 가능</x:t>
  </x:si>
  <x:si>
    <x:t>평상 호흡(호흡량 0)에서 날숨 새 입력 1초 유지</x:t>
  </x:si>
  <x:si>
    <x:t>참기 · 날숨은 기존 규칙 적용 / 들숨만-100/s</x:t>
  </x:si>
  <x:si>
    <x:t>이상 상태·과흡입·호흡 중 머리가 잠기는 수중 진입</x:t>
  </x:si>
  <x:si>
    <x:t>평상 호흡(호흡량 0)에서 참기 새 입력 1초 유지</x:t>
  </x:si>
  <x:si>
    <x:t>50 : 오염 이상 / 100 : 사망</x:t>
  </x:si>
  <x:si>
    <x:t>자극도 · 오염도 회복 -20/s 고정</x:t>
  </x:si>
  <x:si>
    <x:t>이동 가능 거리·안전 지점 도착 여부</x:t>
  </x:si>
  <x:si>
    <x:t>일반 수중 호흡 판정 전에 즉시 익사 처리</x:t>
  </x:si>
  <x:si>
    <x:t>현재 행동 기준 이동 가능 거리(m)</x:t>
  </x:si>
  <x:si>
    <x:t>남은 호흡량 배출 / 평상 호흡 복귀</x:t>
  </x:si>
  <x:si>
    <x:t>3. 시스템에 필요한 밸런스 산출 공식</x:t>
  </x:si>
  <x:si>
    <x:t>호흡량 100에서 들숨 입력을 계속 유지</x:t>
  </x:si>
  <x:si>
    <x:t>특정 인형 외형과 유사한 위장 장비 착용</x:t>
  </x:si>
  <x:si>
    <x:t>과흡입·강제 호흡 중 이상 상태 발생</x:t>
  </x:si>
  <x:si>
    <x:t>소리 발생 위치 조사 / 시야 직접 확인 시 추적</x:t>
  </x:si>
  <x:si>
    <x:t>호흡 소리 0m + 이동 소리 0m로 무소음 이동</x:t>
  </x:si>
  <x:si>
    <x:t>일반 연기 범위 확대 → 자극 위험 구간 확대</x:t>
  </x:si>
  <x:si>
    <x:t>기존 호흡 실패 상태 종료 → 이상 상태 전환</x:t>
  </x:si>
  <x:si>
    <x:t>호흡 행동 적용 후 환경 게이지 변화량(/s)</x:t>
  </x:si>
  <x:si>
    <x:t>오염 환경</x:t>
  </x:si>
  <x:si>
    <x:t>자극 환경</x:t>
  </x:si>
  <x:si>
    <x:t>연기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</x:si>
</x:sst>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ffffff"/>
      <x:b val="1"/>
    </x:font>
    <x:font>
      <x:name val="맑은 고딕"/>
      <x:sz val="10"/>
      <x:color rgb="ff000000"/>
      <x:b val="1"/>
    </x:font>
    <x:font>
      <x:name val="맑은 고딕"/>
      <x:sz val="12"/>
      <x:color rgb="ffffffff"/>
      <x:b val="1"/>
    </x:font>
    <x:font>
      <x:name val="맑은 고딕"/>
      <x:sz val="15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8aabc0"/>
        <x:bgColor indexed="64"/>
      </x:patternFill>
    </x:fill>
    <x:fill>
      <x:patternFill patternType="solid">
        <x:fgColor rgb="ffd8e3ea"/>
        <x:bgColor indexed="64"/>
      </x:patternFill>
    </x:fill>
    <x:fill>
      <x:patternFill patternType="solid">
        <x:fgColor rgb="ff073b5c"/>
        <x:bgColor indexed="64"/>
      </x:patternFill>
    </x:fill>
  </x:fills>
  <x:borders count="1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66">
    <x:xf numFmtId="0" fontId="0" fillId="0" borderId="0" xfId="1">
      <x:alignment horizontal="general" vertical="bottom"/>
    </x:xf>
    <x:xf numFmtId="0" fontId="6" fillId="0" borderId="0" xfId="1" applyNumberFormat="1" applyFont="1" applyFill="1" applyBorder="1" applyAlignment="1" applyProtection="1">
      <x:alignment horizontal="general" vertical="center" wrapText="1"/>
    </x:xf>
    <x:xf numFmtId="0" fontId="6" fillId="0" borderId="0" xfId="2" applyNumberFormat="1" applyFont="1" applyFill="1" applyBorder="1" applyAlignment="1" applyProtection="1">
      <x:alignment horizontal="general" vertical="center" wrapText="1"/>
    </x:xf>
    <x:xf numFmtId="0" fontId="6" fillId="0" borderId="1" xfId="1" applyNumberFormat="1" applyFont="1" applyFill="1" applyBorder="1" applyAlignment="1" applyProtection="1">
      <x:alignment horizontal="general" vertical="center" wrapText="1"/>
    </x:xf>
    <x:xf numFmtId="0" fontId="6" fillId="0" borderId="1" xfId="2" applyNumberFormat="1" applyFont="1" applyFill="1" applyBorder="1" applyAlignment="1" applyProtection="1">
      <x:alignment horizontal="general" vertical="center" wrapText="1"/>
    </x:xf>
    <x:xf numFmtId="49" fontId="6" fillId="0" borderId="1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2" xfId="1" applyNumberFormat="1" applyFont="1" applyFill="1" applyBorder="1" applyAlignment="1" applyProtection="1">
      <x:alignment horizontal="general" vertical="center" wrapText="1"/>
    </x:xf>
    <x:xf numFmtId="0" fontId="6" fillId="0" borderId="3" xfId="1" applyNumberFormat="1" applyFont="1" applyFill="1" applyBorder="1" applyAlignment="1" applyProtection="1">
      <x:alignment horizontal="general" vertical="center" wrapText="1"/>
    </x:xf>
    <x:xf numFmtId="0" fontId="6" fillId="0" borderId="4" xfId="1" applyNumberFormat="1" applyFont="1" applyFill="1" applyBorder="1" applyAlignment="1" applyProtection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2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8" fillId="3" borderId="1" xfId="2" applyNumberFormat="1" applyFont="1" applyFill="1" applyBorder="1" applyAlignment="1" applyProtection="1">
      <x:alignment horizontal="general" vertical="center" wrapText="1"/>
    </x:xf>
    <x:xf numFmtId="0" fontId="8" fillId="3" borderId="1" xfId="1" applyNumberFormat="1" applyFont="1" applyFill="1" applyBorder="1" applyAlignment="1" applyProtection="1">
      <x:alignment horizontal="general" vertical="center" wrapText="1"/>
    </x:xf>
    <x:xf numFmtId="0" fontId="7" fillId="2" borderId="1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2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1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6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6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6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2" borderId="1" xfId="2" applyNumberFormat="1" applyFont="1" applyFill="1" applyBorder="1" applyAlignment="1" applyProtection="1">
      <x:alignment horizontal="general" vertical="center" wrapText="1"/>
    </x:xf>
    <x:xf numFmtId="0" fontId="9" fillId="4" borderId="6" xfId="1" applyNumberFormat="1" applyFont="1" applyFill="1" applyBorder="1" applyAlignment="1" applyProtection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 wrapText="1"/>
    </x:xf>
    <x:xf numFmtId="0" fontId="9" fillId="4" borderId="7" xfId="1" applyNumberFormat="1" applyFont="1" applyFill="1" applyBorder="1" applyAlignment="1" applyProtection="1">
      <x:alignment horizontal="general" vertical="center" wrapText="1"/>
    </x:xf>
    <x:xf numFmtId="0" fontId="9" fillId="4" borderId="8" xfId="1" applyNumberFormat="1" applyFont="1" applyFill="1" applyBorder="1" applyAlignment="1" applyProtection="1">
      <x:alignment horizontal="general" vertical="center" wrapText="1"/>
    </x:xf>
    <x:xf numFmtId="0" fontId="9" fillId="4" borderId="9" xfId="1" applyNumberFormat="1" applyFont="1" applyFill="1" applyBorder="1" applyAlignment="1" applyProtection="1">
      <x:alignment horizontal="general" vertical="center" wrapText="1"/>
    </x:xf>
    <x:xf numFmtId="0" fontId="9" fillId="4" borderId="10" xfId="1" applyNumberFormat="1" applyFont="1" applyFill="1" applyBorder="1" applyAlignment="1" applyProtection="1">
      <x:alignment horizontal="general" vertical="center" wrapText="1"/>
    </x:xf>
    <x:xf numFmtId="0" fontId="9" fillId="4" borderId="4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3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1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3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3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3" xfId="2" applyNumberFormat="1" applyFont="1" applyFill="1" applyBorder="1" applyAlignment="1" applyProtection="1">
      <x:alignment horizontal="general" vertical="center" wrapText="1"/>
    </x:xf>
    <x:xf numFmtId="0" fontId="6" fillId="0" borderId="11" xfId="2" applyNumberFormat="1" applyFont="1" applyFill="1" applyBorder="1" applyAlignment="1" applyProtection="1">
      <x:alignment horizontal="general" vertical="center" wrapText="1"/>
    </x:xf>
    <x:xf numFmtId="0" fontId="6" fillId="0" borderId="14" xfId="1" applyNumberFormat="1" applyFont="1" applyFill="1" applyBorder="1" applyAlignment="1" applyProtection="1">
      <x:alignment horizontal="general" vertical="center" wrapText="1"/>
    </x:xf>
    <x:xf numFmtId="0" fontId="6" fillId="0" borderId="15" xfId="2" applyNumberFormat="1" applyFont="1" applyFill="1" applyBorder="1" applyAlignment="1" applyProtection="1">
      <x:alignment horizontal="general" vertical="center" wrapText="1"/>
    </x:xf>
    <x:xf numFmtId="0" fontId="6" fillId="0" borderId="14" xfId="2" applyNumberFormat="1" applyFont="1" applyFill="1" applyBorder="1" applyAlignment="1" applyProtection="1">
      <x:alignment horizontal="general" vertical="center" wrapText="1"/>
    </x:xf>
    <x:xf numFmtId="0" fontId="6" fillId="0" borderId="16" xfId="1" applyNumberFormat="1" applyFont="1" applyFill="1" applyBorder="1" applyAlignment="1" applyProtection="1">
      <x:alignment horizontal="general" vertical="center" wrapText="1"/>
    </x:xf>
    <x:xf numFmtId="0" fontId="6" fillId="0" borderId="17" xfId="2" applyNumberFormat="1" applyFont="1" applyFill="1" applyBorder="1" applyAlignment="1" applyProtection="1">
      <x:alignment horizontal="general" vertical="center" wrapText="1"/>
    </x:xf>
    <x:xf numFmtId="0" fontId="9" fillId="4" borderId="10" xfId="2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1" xfId="1" applyNumberFormat="1" applyFont="1" applyFill="1" applyBorder="1" applyAlignment="1" applyProtection="1">
      <x:alignment horizontal="general" vertical="center" wrapText="1"/>
    </x:xf>
    <x:xf numFmtId="0" fontId="0" fillId="0" borderId="1" xfId="1" applyNumberFormat="1" applyFont="1" applyFill="1" applyBorder="1" applyAlignment="1" applyProtection="1">
      <x:alignment horizontal="general" vertical="center" wrapText="1"/>
    </x:xf>
    <x:xf numFmtId="0" fontId="6" fillId="0" borderId="1" xfId="2" applyNumberFormat="1" applyFont="1" applyFill="1" applyBorder="1" applyAlignment="1" applyProtection="1">
      <x:alignment horizontal="general" vertical="center" wrapText="1"/>
    </x:xf>
    <x:xf numFmtId="0" fontId="9" fillId="4" borderId="1" xfId="1" applyNumberFormat="1" applyFont="1" applyFill="1" applyBorder="1" applyAlignment="1" applyProtection="1">
      <x:alignment horizontal="general" vertical="center" wrapText="1"/>
    </x:xf>
    <x:xf numFmtId="0" fontId="9" fillId="4" borderId="1" xfId="2" applyNumberFormat="1" applyFont="1" applyFill="1" applyBorder="1" applyAlignment="1" applyProtection="1">
      <x:alignment horizontal="general" vertical="center" wrapText="1"/>
    </x:xf>
    <x:xf numFmtId="0" fontId="10" fillId="4" borderId="0" xfId="1" applyNumberFormat="1" applyFont="1" applyFill="1" applyBorder="1" applyAlignment="1" applyProtection="1">
      <x:alignment horizontal="general" vertical="center" wrapText="1"/>
    </x:xf>
    <x:xf numFmtId="0" fontId="11" fillId="4" borderId="0" xfId="1" applyNumberFormat="1" applyFont="1" applyFill="1" applyBorder="1" applyAlignment="1" applyProtection="1">
      <x:alignment horizontal="general" vertical="center" wrapText="1"/>
    </x:xf>
    <x:xf numFmtId="0" fontId="8" fillId="0" borderId="0" xfId="1" applyNumberFormat="1" applyFont="1" applyFill="1" applyBorder="1" applyAlignment="1" applyProtection="1">
      <x:alignment horizontal="general" vertical="center" wrapText="1"/>
    </x:xf>
    <x:xf numFmtId="0" fontId="9" fillId="4" borderId="5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1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2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1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3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3">
    <x:cellStyle name="Normal" xfId="0" builtinId="0"/>
    <x:cellStyle name="표준" xfId="2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f75b5"/>
            <hs:size val="0"/>
            <hs:ratio val="0"/>
            <hs:spacing val="0"/>
            <hs:offset val="0"/>
          </x:font>
        </x:dxf>
      </mc:Choice>
      <mc:Fallback>
        <x:dxf>
          <x:font>
            <x:color rgb="ff2f75b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c0504d"/>
            <hs:size val="0"/>
            <hs:ratio val="0"/>
            <hs:spacing val="0"/>
            <hs:offset val="0"/>
          </x:font>
        </x:dxf>
      </mc:Choice>
      <mc:Fallback>
        <x:dxf>
          <x:font>
            <x:color rgb="ffc0504d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030a0"/>
            <hs:size val="0"/>
            <hs:ratio val="0"/>
            <hs:spacing val="0"/>
            <hs:offset val="0"/>
          </x:font>
        </x:dxf>
      </mc:Choice>
      <mc:Fallback>
        <x:dxf>
          <x:font>
            <x:color rgb="ff7030a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7f7f7f"/>
            <hs:size val="0"/>
            <hs:ratio val="0"/>
            <hs:spacing val="0"/>
            <hs:offset val="0"/>
          </x:font>
        </x:dxf>
      </mc:Choice>
      <mc:Fallback>
        <x:dxf>
          <x:font>
            <x:color rgb="ff7f7f7f"/>
          </x:font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comments" Target="../comments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48"/>
  <x:sheetViews>
    <x:sheetView topLeftCell="A1" zoomScale="75" zoomScaleNormal="70" zoomScaleSheetLayoutView="75" workbookViewId="0">
      <x:selection activeCell="I8" activeCellId="0" sqref="I8:I8"/>
    </x:sheetView>
  </x:sheetViews>
  <x:sheetFormatPr defaultColWidth="9" defaultRowHeight="25.5" customHeight="1"/>
  <x:cols>
    <x:col min="1" max="1" width="15.1875" style="10" customWidth="1"/>
    <x:col min="2" max="2" width="39.5" style="10" customWidth="1"/>
    <x:col min="3" max="3" width="26.875" style="10" customWidth="1"/>
    <x:col min="4" max="4" width="11.875" style="10" customWidth="1"/>
    <x:col min="5" max="5" width="16.3125" style="10" customWidth="1"/>
    <x:col min="6" max="6" width="40.9375" style="10" customWidth="1"/>
    <x:col min="7" max="7" width="59.375" style="10" customWidth="1"/>
    <x:col min="8" max="16384" width="9" style="10"/>
  </x:cols>
  <x:sheetData>
    <x:row r="1" spans="1:7" ht="30" customHeight="1">
      <x:c r="A1" s="32" t="s">
        <x:v>3</x:v>
      </x:c>
      <x:c r="B1" s="32"/>
      <x:c r="C1" s="32"/>
      <x:c r="D1" s="32"/>
      <x:c r="E1" s="32"/>
      <x:c r="F1" s="32"/>
      <x:c r="G1" s="32"/>
    </x:row>
    <x:row r="2" spans="1:8" ht="30" customHeight="1">
      <x:c r="A2" s="25" t="s">
        <x:v>158</x:v>
      </x:c>
      <x:c r="B2" s="25" t="s">
        <x:v>169</x:v>
      </x:c>
      <x:c r="C2" s="25" t="s">
        <x:v>11</x:v>
      </x:c>
      <x:c r="D2" s="25" t="s">
        <x:v>49</x:v>
      </x:c>
      <x:c r="E2" s="25" t="s">
        <x:v>10</x:v>
      </x:c>
      <x:c r="F2" s="26" t="s">
        <x:v>109</x:v>
      </x:c>
      <x:c r="G2" s="26" t="s">
        <x:v>31</x:v>
      </x:c>
      <x:c r="H2" s="30"/>
    </x:row>
    <x:row r="3" spans="1:7" ht="30" customHeight="1">
      <x:c r="A3" s="27" t="s">
        <x:v>189</x:v>
      </x:c>
      <x:c r="B3" s="27" t="s">
        <x:v>134</x:v>
      </x:c>
      <x:c r="C3" s="28">
        <x:v>0</x:v>
      </x:c>
      <x:c r="D3" s="28">
        <x:v>4</x:v>
      </x:c>
      <x:c r="E3" s="28">
        <x:v>0.5</x:v>
      </x:c>
      <x:c r="F3" s="29" t="s">
        <x:v>226</x:v>
      </x:c>
      <x:c r="G3" s="29" t="s">
        <x:v>253</x:v>
      </x:c>
    </x:row>
    <x:row r="4" spans="1:7" ht="30" customHeight="1">
      <x:c r="A4" s="27" t="s">
        <x:v>191</x:v>
      </x:c>
      <x:c r="B4" s="27" t="s">
        <x:v>141</x:v>
      </x:c>
      <x:c r="C4" s="28">
        <x:v>50</x:v>
      </x:c>
      <x:c r="D4" s="28">
        <x:v>6</x:v>
      </x:c>
      <x:c r="E4" s="28">
        <x:v>1</x:v>
      </x:c>
      <x:c r="F4" s="29" t="s">
        <x:v>101</x:v>
      </x:c>
      <x:c r="G4" s="29" t="s">
        <x:v>251</x:v>
      </x:c>
    </x:row>
    <x:row r="5" spans="1:7" ht="30" customHeight="1">
      <x:c r="A5" s="27" t="s">
        <x:v>40</x:v>
      </x:c>
      <x:c r="B5" s="27" t="s">
        <x:v>161</x:v>
      </x:c>
      <x:c r="C5" s="28">
        <x:v>-10</x:v>
      </x:c>
      <x:c r="D5" s="28">
        <x:v>0</x:v>
      </x:c>
      <x:c r="E5" s="28">
        <x:v>0</x:v>
      </x:c>
      <x:c r="F5" s="29" t="s">
        <x:v>261</x:v>
      </x:c>
      <x:c r="G5" s="29" t="s">
        <x:v>0</x:v>
      </x:c>
    </x:row>
    <x:row r="6" spans="1:7" ht="30" customHeight="1">
      <x:c r="A6" s="27" t="s">
        <x:v>193</x:v>
      </x:c>
      <x:c r="B6" s="27" t="s">
        <x:v>173</x:v>
      </x:c>
      <x:c r="C6" s="28">
        <x:v>-66.700000000000003</x:v>
      </x:c>
      <x:c r="D6" s="28">
        <x:v>7</x:v>
      </x:c>
      <x:c r="E6" s="28">
        <x:v>0</x:v>
      </x:c>
      <x:c r="F6" s="29" t="s">
        <x:v>273</x:v>
      </x:c>
      <x:c r="G6" s="29" t="s">
        <x:v>246</x:v>
      </x:c>
    </x:row>
    <x:row r="7" spans="1:8" ht="30" customHeight="1">
      <x:c r="A7" s="33"/>
      <x:c r="B7" s="33"/>
      <x:c r="C7" s="33"/>
      <x:c r="D7" s="33"/>
      <x:c r="E7" s="33"/>
      <x:c r="F7" s="33"/>
      <x:c r="G7" s="33"/>
      <x:c r="H7" s="33"/>
    </x:row>
    <x:row r="8" spans="1:7" ht="30" customHeight="1">
      <x:c r="A8" s="34" t="s">
        <x:v>203</x:v>
      </x:c>
      <x:c r="B8" s="35"/>
      <x:c r="C8" s="35"/>
      <x:c r="D8" s="35"/>
      <x:c r="E8" s="35"/>
      <x:c r="F8" s="35"/>
      <x:c r="G8" s="36"/>
    </x:row>
    <x:row r="9" spans="1:7" ht="30" customHeight="1">
      <x:c r="A9" s="14" t="s">
        <x:v>125</x:v>
      </x:c>
      <x:c r="B9" s="14" t="s">
        <x:v>124</x:v>
      </x:c>
      <x:c r="C9" s="14" t="s">
        <x:v>27</x:v>
      </x:c>
      <x:c r="D9" s="14" t="s">
        <x:v>26</x:v>
      </x:c>
      <x:c r="E9" s="14" t="s">
        <x:v>49</x:v>
      </x:c>
      <x:c r="F9" s="14" t="s">
        <x:v>129</x:v>
      </x:c>
      <x:c r="G9" s="14" t="s">
        <x:v>177</x:v>
      </x:c>
    </x:row>
    <x:row r="10" spans="1:7" ht="30" customHeight="1">
      <x:c r="A10" s="3" t="s">
        <x:v>162</x:v>
      </x:c>
      <x:c r="B10" s="24" t="s">
        <x:v>275</x:v>
      </x:c>
      <x:c r="C10" s="11">
        <x:v>1</x:v>
      </x:c>
      <x:c r="D10" s="11">
        <x:v>2</x:v>
      </x:c>
      <x:c r="E10" s="11">
        <x:v>8</x:v>
      </x:c>
      <x:c r="F10" s="3" t="s">
        <x:v>211</x:v>
      </x:c>
      <x:c r="G10" s="3" t="s">
        <x:v>2</x:v>
      </x:c>
    </x:row>
    <x:row r="11" spans="1:7" ht="30" customHeight="1">
      <x:c r="A11" s="3" t="s">
        <x:v>258</x:v>
      </x:c>
      <x:c r="B11" s="24" t="s">
        <x:v>267</x:v>
      </x:c>
      <x:c r="C11" s="11">
        <x:v>1</x:v>
      </x:c>
      <x:c r="D11" s="11">
        <x:v>2</x:v>
      </x:c>
      <x:c r="E11" s="11">
        <x:v>8</x:v>
      </x:c>
      <x:c r="F11" s="3" t="s">
        <x:v>211</x:v>
      </x:c>
      <x:c r="G11" s="3" t="s">
        <x:v>248</x:v>
      </x:c>
    </x:row>
    <x:row r="12" spans="1:7" ht="30" customHeight="1">
      <x:c r="A12" s="3" t="s">
        <x:v>25</x:v>
      </x:c>
      <x:c r="B12" s="24" t="s">
        <x:v>264</x:v>
      </x:c>
      <x:c r="C12" s="11">
        <x:v>1</x:v>
      </x:c>
      <x:c r="D12" s="11">
        <x:v>2</x:v>
      </x:c>
      <x:c r="E12" s="11">
        <x:v>8</x:v>
      </x:c>
      <x:c r="F12" s="3" t="s">
        <x:v>211</x:v>
      </x:c>
      <x:c r="G12" s="3" t="s">
        <x:v>252</x:v>
      </x:c>
    </x:row>
    <x:row r="13" ht="30" customHeight="1"/>
    <x:row r="14" spans="1:7" ht="30" customHeight="1">
      <x:c r="A14" s="37" t="s">
        <x:v>199</x:v>
      </x:c>
      <x:c r="B14" s="37"/>
      <x:c r="C14" s="37"/>
      <x:c r="D14" s="37"/>
      <x:c r="E14" s="37"/>
      <x:c r="F14" s="37"/>
      <x:c r="G14" s="37"/>
    </x:row>
    <x:row r="15" spans="1:7" ht="30" customHeight="1">
      <x:c r="A15" s="14" t="s">
        <x:v>145</x:v>
      </x:c>
      <x:c r="B15" s="14" t="s">
        <x:v>143</x:v>
      </x:c>
      <x:c r="C15" s="14" t="s">
        <x:v>135</x:v>
      </x:c>
      <x:c r="D15" s="14" t="s">
        <x:v>12</x:v>
      </x:c>
      <x:c r="E15" s="14" t="s">
        <x:v>181</x:v>
      </x:c>
      <x:c r="F15" s="14" t="s">
        <x:v>111</x:v>
      </x:c>
      <x:c r="G15" s="14" t="s">
        <x:v>100</x:v>
      </x:c>
    </x:row>
    <x:row r="16" spans="1:7" ht="30" customHeight="1">
      <x:c r="A16" s="3" t="s">
        <x:v>68</x:v>
      </x:c>
      <x:c r="B16" s="3" t="s">
        <x:v>155</x:v>
      </x:c>
      <x:c r="C16" s="3" t="s">
        <x:v>149</x:v>
      </x:c>
      <x:c r="D16" s="11">
        <x:v>-20</x:v>
      </x:c>
      <x:c r="E16" s="11">
        <x:v>-20</x:v>
      </x:c>
      <x:c r="F16" s="3" t="s">
        <x:v>170</x:v>
      </x:c>
      <x:c r="G16" s="3" t="s">
        <x:v>62</x:v>
      </x:c>
    </x:row>
    <x:row r="17" spans="1:7" ht="30" customHeight="1">
      <x:c r="A17" s="3" t="s">
        <x:v>68</x:v>
      </x:c>
      <x:c r="B17" s="3" t="s">
        <x:v>155</x:v>
      </x:c>
      <x:c r="C17" s="3" t="s">
        <x:v>157</x:v>
      </x:c>
      <x:c r="D17" s="11">
        <x:v>-20</x:v>
      </x:c>
      <x:c r="E17" s="11">
        <x:v>-20</x:v>
      </x:c>
      <x:c r="F17" s="3" t="s">
        <x:v>170</x:v>
      </x:c>
      <x:c r="G17" s="3" t="s">
        <x:v>89</x:v>
      </x:c>
    </x:row>
    <x:row r="18" spans="1:7" ht="30" customHeight="1">
      <x:c r="A18" s="3" t="s">
        <x:v>146</x:v>
      </x:c>
      <x:c r="B18" s="3" t="s">
        <x:v>284</x:v>
      </x:c>
      <x:c r="C18" s="3" t="s">
        <x:v>149</x:v>
      </x:c>
      <x:c r="D18" s="11">
        <x:v>20</x:v>
      </x:c>
      <x:c r="E18" s="11">
        <x:v>-20</x:v>
      </x:c>
      <x:c r="F18" s="3" t="s">
        <x:v>30</x:v>
      </x:c>
      <x:c r="G18" s="3" t="s">
        <x:v>245</x:v>
      </x:c>
    </x:row>
    <x:row r="19" spans="1:7" ht="30" customHeight="1">
      <x:c r="A19" s="3" t="s">
        <x:v>151</x:v>
      </x:c>
      <x:c r="B19" s="4" t="s">
        <x:v>284</x:v>
      </x:c>
      <x:c r="C19" s="3" t="s">
        <x:v>149</x:v>
      </x:c>
      <x:c r="D19" s="11">
        <x:v>20</x:v>
      </x:c>
      <x:c r="E19" s="11">
        <x:v>-20</x:v>
      </x:c>
      <x:c r="F19" s="3" t="s">
        <x:v>30</x:v>
      </x:c>
      <x:c r="G19" s="4" t="s">
        <x:v>245</x:v>
      </x:c>
    </x:row>
    <x:row r="20" spans="1:7" ht="30" customHeight="1">
      <x:c r="A20" s="3" t="s">
        <x:v>285</x:v>
      </x:c>
      <x:c r="B20" s="4" t="s">
        <x:v>284</x:v>
      </x:c>
      <x:c r="C20" s="3" t="s">
        <x:v>149</x:v>
      </x:c>
      <x:c r="D20" s="11">
        <x:v>20</x:v>
      </x:c>
      <x:c r="E20" s="11">
        <x:v>-20</x:v>
      </x:c>
      <x:c r="F20" s="3" t="s">
        <x:v>30</x:v>
      </x:c>
      <x:c r="G20" s="4" t="s">
        <x:v>245</x:v>
      </x:c>
    </x:row>
    <x:row r="21" spans="1:7" ht="30" customHeight="1">
      <x:c r="A21" s="3" t="s">
        <x:v>119</x:v>
      </x:c>
      <x:c r="B21" s="3" t="s">
        <x:v>283</x:v>
      </x:c>
      <x:c r="C21" s="3" t="s">
        <x:v>157</x:v>
      </x:c>
      <x:c r="D21" s="11">
        <x:v>25</x:v>
      </x:c>
      <x:c r="E21" s="11">
        <x:v>-20</x:v>
      </x:c>
      <x:c r="F21" s="3" t="s">
        <x:v>268</x:v>
      </x:c>
      <x:c r="G21" s="3" t="s">
        <x:v>255</x:v>
      </x:c>
    </x:row>
    <x:row r="22" spans="1:7" ht="30" customHeight="1">
      <x:c r="A22" s="3" t="s">
        <x:v>179</x:v>
      </x:c>
      <x:c r="B22" s="4" t="s">
        <x:v>283</x:v>
      </x:c>
      <x:c r="C22" s="3" t="s">
        <x:v>157</x:v>
      </x:c>
      <x:c r="D22" s="11">
        <x:v>25</x:v>
      </x:c>
      <x:c r="E22" s="11">
        <x:v>-20</x:v>
      </x:c>
      <x:c r="F22" s="3" t="s">
        <x:v>268</x:v>
      </x:c>
      <x:c r="G22" s="3" t="s">
        <x:v>243</x:v>
      </x:c>
    </x:row>
    <x:row r="23" spans="1:7" ht="30" customHeight="1">
      <x:c r="A23" s="3" t="s">
        <x:v>174</x:v>
      </x:c>
      <x:c r="B23" s="3" t="s">
        <x:v>61</x:v>
      </x:c>
      <x:c r="C23" s="3" t="s">
        <x:v>171</x:v>
      </x:c>
      <x:c r="D23" s="11" t="s">
        <x:v>170</x:v>
      </x:c>
      <x:c r="E23" s="11">
        <x:v>0</x:v>
      </x:c>
      <x:c r="F23" s="3" t="s">
        <x:v>20</x:v>
      </x:c>
      <x:c r="G23" s="3" t="s">
        <x:v>249</x:v>
      </x:c>
    </x:row>
    <x:row r="24" ht="30" customHeight="1"/>
    <x:row r="25" spans="1:7" ht="30" customHeight="1">
      <x:c r="A25" s="37" t="s">
        <x:v>6</x:v>
      </x:c>
      <x:c r="B25" s="37"/>
      <x:c r="C25" s="37"/>
      <x:c r="D25" s="37"/>
      <x:c r="E25" s="37"/>
      <x:c r="F25" s="37"/>
      <x:c r="G25" s="37"/>
    </x:row>
    <x:row r="26" spans="1:7" ht="30" customHeight="1">
      <x:c r="A26" s="14" t="s">
        <x:v>153</x:v>
      </x:c>
      <x:c r="B26" s="14" t="s">
        <x:v>124</x:v>
      </x:c>
      <x:c r="C26" s="14" t="s">
        <x:v>76</x:v>
      </x:c>
      <x:c r="D26" s="14" t="s">
        <x:v>79</x:v>
      </x:c>
      <x:c r="E26" s="14" t="s">
        <x:v>123</x:v>
      </x:c>
      <x:c r="F26" s="14" t="s">
        <x:v>14</x:v>
      </x:c>
      <x:c r="G26" s="14" t="s">
        <x:v>63</x:v>
      </x:c>
    </x:row>
    <x:row r="27" spans="1:7" ht="30" customHeight="1">
      <x:c r="A27" s="3" t="s">
        <x:v>107</x:v>
      </x:c>
      <x:c r="B27" s="3" t="s">
        <x:v>87</x:v>
      </x:c>
      <x:c r="C27" s="3" t="s">
        <x:v>222</x:v>
      </x:c>
      <x:c r="D27" s="3" t="s">
        <x:v>78</x:v>
      </x:c>
      <x:c r="E27" s="3" t="s">
        <x:v>81</x:v>
      </x:c>
      <x:c r="F27" s="11">
        <x:v>10</x:v>
      </x:c>
      <x:c r="G27" s="3" t="s">
        <x:v>139</x:v>
      </x:c>
    </x:row>
    <x:row r="28" spans="1:7" ht="30" customHeight="1">
      <x:c r="A28" s="3" t="s">
        <x:v>66</x:v>
      </x:c>
      <x:c r="B28" s="3" t="s">
        <x:v>4</x:v>
      </x:c>
      <x:c r="C28" s="3" t="s">
        <x:v>194</x:v>
      </x:c>
      <x:c r="D28" s="3" t="s">
        <x:v>78</x:v>
      </x:c>
      <x:c r="E28" s="3" t="s">
        <x:v>81</x:v>
      </x:c>
      <x:c r="F28" s="11">
        <x:v>10</x:v>
      </x:c>
      <x:c r="G28" s="3" t="s">
        <x:v>139</x:v>
      </x:c>
    </x:row>
    <x:row r="29" spans="1:7" ht="30" customHeight="1">
      <x:c r="A29" s="3" t="s">
        <x:v>83</x:v>
      </x:c>
      <x:c r="B29" s="3" t="s">
        <x:v>198</x:v>
      </x:c>
      <x:c r="C29" s="3" t="s">
        <x:v>225</x:v>
      </x:c>
      <x:c r="D29" s="3" t="s">
        <x:v>69</x:v>
      </x:c>
      <x:c r="E29" s="3" t="s">
        <x:v>81</x:v>
      </x:c>
      <x:c r="F29" s="11">
        <x:v>10</x:v>
      </x:c>
      <x:c r="G29" s="3" t="s">
        <x:v>139</x:v>
      </x:c>
    </x:row>
    <x:row r="30" ht="30" customHeight="1"/>
    <x:row r="31" spans="1:7" ht="30" customHeight="1">
      <x:c r="A31" s="37" t="s">
        <x:v>217</x:v>
      </x:c>
      <x:c r="B31" s="37"/>
      <x:c r="C31" s="37"/>
      <x:c r="D31" s="37"/>
      <x:c r="E31" s="38"/>
      <x:c r="F31" s="38"/>
      <x:c r="G31" s="37"/>
    </x:row>
    <x:row r="32" spans="1:7" ht="30" customHeight="1">
      <x:c r="A32" s="15" t="s">
        <x:v>117</x:v>
      </x:c>
      <x:c r="B32" s="18" t="s">
        <x:v>49</x:v>
      </x:c>
      <x:c r="C32" s="39" t="s">
        <x:v>136</x:v>
      </x:c>
      <x:c r="D32" s="40"/>
      <x:c r="E32" s="41" t="s">
        <x:v>37</x:v>
      </x:c>
      <x:c r="F32" s="42"/>
      <x:c r="G32" s="23" t="s">
        <x:v>39</x:v>
      </x:c>
    </x:row>
    <x:row r="33" spans="1:7" ht="30" customHeight="1">
      <x:c r="A33" s="3" t="s">
        <x:v>122</x:v>
      </x:c>
      <x:c r="B33" s="13">
        <x:v>2</x:v>
      </x:c>
      <x:c r="C33" s="43" t="s">
        <x:v>224</x:v>
      </x:c>
      <x:c r="D33" s="44"/>
      <x:c r="E33" s="45" t="s">
        <x:v>128</x:v>
      </x:c>
      <x:c r="F33" s="46"/>
      <x:c r="G33" s="12" t="s">
        <x:v>209</x:v>
      </x:c>
    </x:row>
    <x:row r="34" spans="1:7" ht="30" customHeight="1">
      <x:c r="A34" s="3" t="s">
        <x:v>164</x:v>
      </x:c>
      <x:c r="B34" s="13">
        <x:v>4</x:v>
      </x:c>
      <x:c r="C34" s="43" t="s">
        <x:v>170</x:v>
      </x:c>
      <x:c r="D34" s="44"/>
      <x:c r="E34" s="45" t="s">
        <x:v>128</x:v>
      </x:c>
      <x:c r="F34" s="46"/>
      <x:c r="G34" s="12" t="s">
        <x:v>170</x:v>
      </x:c>
    </x:row>
    <x:row r="35" spans="1:7" ht="30" customHeight="1">
      <x:c r="A35" s="3" t="s">
        <x:v>84</x:v>
      </x:c>
      <x:c r="B35" s="13">
        <x:v>4</x:v>
      </x:c>
      <x:c r="C35" s="43" t="s">
        <x:v>170</x:v>
      </x:c>
      <x:c r="D35" s="44"/>
      <x:c r="E35" s="47" t="s">
        <x:v>128</x:v>
      </x:c>
      <x:c r="F35" s="46"/>
      <x:c r="G35" s="12" t="s">
        <x:v>170</x:v>
      </x:c>
    </x:row>
    <x:row r="36" spans="1:7" ht="30" customHeight="1">
      <x:c r="A36" s="3" t="s">
        <x:v>167</x:v>
      </x:c>
      <x:c r="B36" s="13">
        <x:v>5</x:v>
      </x:c>
      <x:c r="C36" s="43" t="s">
        <x:v>170</x:v>
      </x:c>
      <x:c r="D36" s="44"/>
      <x:c r="E36" s="45" t="s">
        <x:v>128</x:v>
      </x:c>
      <x:c r="F36" s="46"/>
      <x:c r="G36" s="12" t="s">
        <x:v>36</x:v>
      </x:c>
    </x:row>
    <x:row r="37" spans="1:7" ht="30" customHeight="1">
      <x:c r="A37" s="3" t="s">
        <x:v>150</x:v>
      </x:c>
      <x:c r="B37" s="13">
        <x:v>7</x:v>
      </x:c>
      <x:c r="C37" s="43" t="s">
        <x:v>170</x:v>
      </x:c>
      <x:c r="D37" s="44"/>
      <x:c r="E37" s="45" t="s">
        <x:v>128</x:v>
      </x:c>
      <x:c r="F37" s="46"/>
      <x:c r="G37" s="12" t="s">
        <x:v>170</x:v>
      </x:c>
    </x:row>
    <x:row r="38" spans="1:7" ht="30" customHeight="1">
      <x:c r="A38" s="3" t="s">
        <x:v>99</x:v>
      </x:c>
      <x:c r="B38" s="13">
        <x:v>8</x:v>
      </x:c>
      <x:c r="C38" s="43" t="s">
        <x:v>170</x:v>
      </x:c>
      <x:c r="D38" s="44"/>
      <x:c r="E38" s="48" t="s">
        <x:v>82</x:v>
      </x:c>
      <x:c r="F38" s="49"/>
      <x:c r="G38" s="12" t="s">
        <x:v>170</x:v>
      </x:c>
    </x:row>
    <x:row r="39" ht="30" customHeight="1"/>
    <x:row r="40" spans="1:7" ht="30" customHeight="1">
      <x:c r="A40" s="50" t="s">
        <x:v>192</x:v>
      </x:c>
      <x:c r="B40" s="37"/>
      <x:c r="C40" s="37"/>
      <x:c r="D40" s="37"/>
      <x:c r="E40" s="37"/>
      <x:c r="F40" s="37"/>
      <x:c r="G40" s="37"/>
    </x:row>
    <x:row r="41" spans="1:7" ht="30" customHeight="1">
      <x:c r="A41" s="18" t="s">
        <x:v>132</x:v>
      </x:c>
      <x:c r="B41" s="14" t="s">
        <x:v>33</x:v>
      </x:c>
      <x:c r="C41" s="14" t="s">
        <x:v>160</x:v>
      </x:c>
      <x:c r="D41" s="14" t="s">
        <x:v>93</x:v>
      </x:c>
      <x:c r="E41" s="14" t="s">
        <x:v>13</x:v>
      </x:c>
      <x:c r="F41" s="14" t="s">
        <x:v>131</x:v>
      </x:c>
      <x:c r="G41" s="14" t="s">
        <x:v>45</x:v>
      </x:c>
    </x:row>
    <x:row r="42" spans="1:7" ht="30" customHeight="1">
      <x:c r="A42" s="3" t="s">
        <x:v>72</x:v>
      </x:c>
      <x:c r="B42" s="11">
        <x:v>8</x:v>
      </x:c>
      <x:c r="C42" s="11" t="s">
        <x:v>156</x:v>
      </x:c>
      <x:c r="D42" s="11">
        <x:v>1</x:v>
      </x:c>
      <x:c r="E42" s="11">
        <x:v>10</x:v>
      </x:c>
      <x:c r="F42" s="3" t="s">
        <x:v>86</x:v>
      </x:c>
      <x:c r="G42" s="3" t="s">
        <x:v>278</x:v>
      </x:c>
    </x:row>
    <x:row r="43" spans="1:7" ht="30" customHeight="1">
      <x:c r="A43" s="3" t="s">
        <x:v>104</x:v>
      </x:c>
      <x:c r="B43" s="11">
        <x:v>0</x:v>
      </x:c>
      <x:c r="C43" s="11" t="s">
        <x:v>163</x:v>
      </x:c>
      <x:c r="D43" s="11">
        <x:v>1.5</x:v>
      </x:c>
      <x:c r="E43" s="11">
        <x:v>14</x:v>
      </x:c>
      <x:c r="F43" s="3" t="s">
        <x:v>152</x:v>
      </x:c>
      <x:c r="G43" s="3" t="s">
        <x:v>228</x:v>
      </x:c>
    </x:row>
    <x:row r="44" ht="30" customHeight="1"/>
    <x:row r="45" spans="1:7" ht="30" customHeight="1">
      <x:c r="A45" s="37" t="s">
        <x:v>184</x:v>
      </x:c>
      <x:c r="B45" s="37"/>
      <x:c r="C45" s="37"/>
      <x:c r="D45" s="37"/>
      <x:c r="E45" s="37"/>
      <x:c r="F45" s="37"/>
      <x:c r="G45" s="37"/>
    </x:row>
    <x:row r="46" spans="1:7" ht="30" customHeight="1">
      <x:c r="A46" s="51" t="s">
        <x:v>98</x:v>
      </x:c>
      <x:c r="B46" s="52"/>
      <x:c r="C46" s="51" t="s">
        <x:v>165</x:v>
      </x:c>
      <x:c r="D46" s="52"/>
      <x:c r="E46" s="51" t="s">
        <x:v>103</x:v>
      </x:c>
      <x:c r="F46" s="52"/>
      <x:c r="G46" s="14" t="s">
        <x:v>154</x:v>
      </x:c>
    </x:row>
    <x:row r="47" spans="1:7" ht="30" customHeight="1">
      <x:c r="A47" s="53" t="s">
        <x:v>266</x:v>
      </x:c>
      <x:c r="B47" s="54"/>
      <x:c r="C47" s="55" t="s">
        <x:v>133</x:v>
      </x:c>
      <x:c r="D47" s="54"/>
      <x:c r="E47" s="55" t="s">
        <x:v>271</x:v>
      </x:c>
      <x:c r="F47" s="53"/>
      <x:c r="G47" s="4" t="s">
        <x:v>223</x:v>
      </x:c>
    </x:row>
    <x:row r="48" spans="1:7" ht="30" customHeight="1">
      <x:c r="A48" s="53" t="s">
        <x:v>277</x:v>
      </x:c>
      <x:c r="B48" s="54"/>
      <x:c r="C48" s="55" t="s">
        <x:v>281</x:v>
      </x:c>
      <x:c r="D48" s="54"/>
      <x:c r="E48" s="55" t="s">
        <x:v>221</x:v>
      </x:c>
      <x:c r="F48" s="53"/>
      <x:c r="G48" s="4" t="s">
        <x:v>213</x:v>
      </x:c>
    </x:row>
  </x:sheetData>
  <x:mergeCells count="31">
    <x:mergeCell ref="A1:G1"/>
    <x:mergeCell ref="A7:H7"/>
    <x:mergeCell ref="A8:G8"/>
    <x:mergeCell ref="A14:G14"/>
    <x:mergeCell ref="A25:G25"/>
    <x:mergeCell ref="A31:G31"/>
    <x:mergeCell ref="C32:D32"/>
    <x:mergeCell ref="E32:F32"/>
    <x:mergeCell ref="C33:D33"/>
    <x:mergeCell ref="E33:F33"/>
    <x:mergeCell ref="C34:D34"/>
    <x:mergeCell ref="E34:F34"/>
    <x:mergeCell ref="C35:D35"/>
    <x:mergeCell ref="E35:F35"/>
    <x:mergeCell ref="C36:D36"/>
    <x:mergeCell ref="E36:F36"/>
    <x:mergeCell ref="C37:D37"/>
    <x:mergeCell ref="E37:F37"/>
    <x:mergeCell ref="C38:D38"/>
    <x:mergeCell ref="E38:F38"/>
    <x:mergeCell ref="A40:G40"/>
    <x:mergeCell ref="A45:G45"/>
    <x:mergeCell ref="A46:B46"/>
    <x:mergeCell ref="C46:D46"/>
    <x:mergeCell ref="E46:F46"/>
    <x:mergeCell ref="A47:B47"/>
    <x:mergeCell ref="C47:D47"/>
    <x:mergeCell ref="E47:F47"/>
    <x:mergeCell ref="A48:B48"/>
    <x:mergeCell ref="C48:D48"/>
    <x:mergeCell ref="E48:F48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2"/>
  <x:sheetViews>
    <x:sheetView topLeftCell="A1" zoomScale="80" zoomScaleNormal="60" zoomScaleSheetLayoutView="80" workbookViewId="0">
      <x:selection activeCell="F14" activeCellId="0" sqref="F14:F14"/>
    </x:sheetView>
  </x:sheetViews>
  <x:sheetFormatPr defaultColWidth="9" defaultRowHeight="13.19999999999999928946"/>
  <x:cols>
    <x:col min="1" max="1" width="15.5" style="1" customWidth="1"/>
    <x:col min="2" max="2" width="22.375" style="1" customWidth="1"/>
    <x:col min="3" max="3" width="25.1875" style="1" customWidth="1"/>
    <x:col min="4" max="4" width="50.8125" style="1" customWidth="1"/>
    <x:col min="5" max="5" width="23.4375" style="1" customWidth="1"/>
    <x:col min="6" max="6" width="35.8125" style="1" customWidth="1"/>
    <x:col min="7" max="7" width="36.6875" style="1" customWidth="1"/>
    <x:col min="8" max="16384" width="9" style="1"/>
  </x:cols>
  <x:sheetData>
    <x:row r="1" spans="1:7" ht="30.75" customHeight="1">
      <x:c r="A1" s="56" t="s">
        <x:v>186</x:v>
      </x:c>
      <x:c r="B1" s="56"/>
      <x:c r="C1" s="56"/>
      <x:c r="D1" s="56"/>
      <x:c r="E1" s="56"/>
      <x:c r="F1" s="56"/>
      <x:c r="G1" s="56"/>
    </x:row>
    <x:row r="2" spans="1:7" ht="30.75" customHeight="1">
      <x:c r="A2" s="22" t="s">
        <x:v>148</x:v>
      </x:c>
      <x:c r="B2" s="22" t="s">
        <x:v>175</x:v>
      </x:c>
      <x:c r="C2" s="22" t="s">
        <x:v>65</x:v>
      </x:c>
      <x:c r="D2" s="22" t="s">
        <x:v>43</x:v>
      </x:c>
      <x:c r="E2" s="22" t="s">
        <x:v>48</x:v>
      </x:c>
      <x:c r="F2" s="22" t="s">
        <x:v>29</x:v>
      </x:c>
      <x:c r="G2" s="22" t="s">
        <x:v>92</x:v>
      </x:c>
    </x:row>
    <x:row r="3" spans="1:7" ht="30.75" customHeight="1">
      <x:c r="A3" s="3" t="s">
        <x:v>104</x:v>
      </x:c>
      <x:c r="B3" s="3" t="s">
        <x:v>166</x:v>
      </x:c>
      <x:c r="C3" s="4" t="s">
        <x:v>200</x:v>
      </x:c>
      <x:c r="D3" s="3" t="s">
        <x:v>262</x:v>
      </x:c>
      <x:c r="E3" s="3" t="s">
        <x:v>260</x:v>
      </x:c>
      <x:c r="F3" s="3" t="s">
        <x:v>279</x:v>
      </x:c>
      <x:c r="G3" s="3" t="s">
        <x:v>7</x:v>
      </x:c>
    </x:row>
    <x:row r="4" spans="1:7" ht="30.75" customHeight="1">
      <x:c r="A4" s="3" t="s">
        <x:v>176</x:v>
      </x:c>
      <x:c r="B4" s="3" t="s">
        <x:v>97</x:v>
      </x:c>
      <x:c r="C4" s="4" t="s">
        <x:v>207</x:v>
      </x:c>
      <x:c r="D4" s="3" t="s">
        <x:v>276</x:v>
      </x:c>
      <x:c r="E4" s="3" t="s">
        <x:v>240</x:v>
      </x:c>
      <x:c r="F4" s="3" t="s">
        <x:v>250</x:v>
      </x:c>
      <x:c r="G4" s="3" t="s">
        <x:v>263</x:v>
      </x:c>
    </x:row>
    <x:row r="5" spans="1:7" ht="30.75" customHeight="1">
      <x:c r="A5" s="3" t="s">
        <x:v>64</x:v>
      </x:c>
      <x:c r="B5" s="3" t="s">
        <x:v>80</x:v>
      </x:c>
      <x:c r="C5" s="4" t="s">
        <x:v>195</x:v>
      </x:c>
      <x:c r="D5" s="3" t="s">
        <x:v>227</x:v>
      </x:c>
      <x:c r="E5" s="3" t="s">
        <x:v>106</x:v>
      </x:c>
      <x:c r="F5" s="3" t="s">
        <x:v>244</x:v>
      </x:c>
      <x:c r="G5" s="3" t="s">
        <x:v>18</x:v>
      </x:c>
    </x:row>
    <x:row r="6" spans="1:7" ht="30.75" customHeight="1">
      <x:c r="A6" s="3" t="s">
        <x:v>9</x:v>
      </x:c>
      <x:c r="B6" s="3" t="s">
        <x:v>85</x:v>
      </x:c>
      <x:c r="C6" s="4" t="s">
        <x:v>88</x:v>
      </x:c>
      <x:c r="D6" s="3" t="s">
        <x:v>17</x:v>
      </x:c>
      <x:c r="E6" s="3" t="s">
        <x:v>71</x:v>
      </x:c>
      <x:c r="F6" s="3" t="s">
        <x:v>236</x:v>
      </x:c>
      <x:c r="G6" s="3" t="s">
        <x:v>196</x:v>
      </x:c>
    </x:row>
    <x:row r="7" spans="1:7" ht="30.75" customHeight="1">
      <x:c r="A7" s="3" t="s">
        <x:v>21</x:v>
      </x:c>
      <x:c r="B7" s="3" t="s">
        <x:v>85</x:v>
      </x:c>
      <x:c r="C7" s="4" t="s">
        <x:v>88</x:v>
      </x:c>
      <x:c r="D7" s="3" t="s">
        <x:v>91</x:v>
      </x:c>
      <x:c r="E7" s="3" t="s">
        <x:v>71</x:v>
      </x:c>
      <x:c r="F7" s="3" t="s">
        <x:v>280</x:v>
      </x:c>
      <x:c r="G7" s="3" t="s">
        <x:v>196</x:v>
      </x:c>
    </x:row>
    <x:row r="8" spans="1:7" ht="30.75" customHeight="1">
      <x:c r="A8" s="3" t="s">
        <x:v>19</x:v>
      </x:c>
      <x:c r="B8" s="3" t="s">
        <x:v>85</x:v>
      </x:c>
      <x:c r="C8" s="4" t="s">
        <x:v>195</x:v>
      </x:c>
      <x:c r="D8" s="3" t="s">
        <x:v>41</x:v>
      </x:c>
      <x:c r="E8" s="3" t="s">
        <x:v>71</x:v>
      </x:c>
      <x:c r="F8" s="3" t="s">
        <x:v>140</x:v>
      </x:c>
      <x:c r="G8" s="3" t="s">
        <x:v>126</x:v>
      </x:c>
    </x:row>
    <x:row r="9" ht="30.75" customHeight="1"/>
    <x:row r="10" spans="1:7" ht="30.75" customHeight="1">
      <x:c r="A10" s="56" t="s">
        <x:v>50</x:v>
      </x:c>
      <x:c r="B10" s="56"/>
      <x:c r="C10" s="56"/>
      <x:c r="D10" s="56"/>
      <x:c r="E10" s="56"/>
      <x:c r="F10" s="56"/>
      <x:c r="G10" s="56"/>
    </x:row>
    <x:row r="11" spans="1:7" ht="30.75" customHeight="1">
      <x:c r="A11" s="22" t="s">
        <x:v>172</x:v>
      </x:c>
      <x:c r="B11" s="22" t="s">
        <x:v>105</x:v>
      </x:c>
      <x:c r="C11" s="22" t="s">
        <x:v>90</x:v>
      </x:c>
      <x:c r="D11" s="22" t="s">
        <x:v>115</x:v>
      </x:c>
      <x:c r="E11" s="22" t="s">
        <x:v>77</x:v>
      </x:c>
      <x:c r="F11" s="22" t="s">
        <x:v>34</x:v>
      </x:c>
      <x:c r="G11" s="22" t="s">
        <x:v>102</x:v>
      </x:c>
    </x:row>
    <x:row r="12" spans="1:7" ht="30.75" customHeight="1">
      <x:c r="A12" s="3" t="s">
        <x:v>94</x:v>
      </x:c>
      <x:c r="B12" s="3" t="s">
        <x:v>8</x:v>
      </x:c>
      <x:c r="C12" s="3" t="s">
        <x:v>208</x:v>
      </x:c>
      <x:c r="D12" s="3" t="s">
        <x:v>238</x:v>
      </x:c>
      <x:c r="E12" s="3" t="s">
        <x:v>47</x:v>
      </x:c>
      <x:c r="F12" s="3" t="s">
        <x:v>269</x:v>
      </x:c>
      <x:c r="G12" s="3" t="s">
        <x:v>204</x:v>
      </x:c>
    </x:row>
    <x:row r="13" spans="1:7" ht="30.75" customHeight="1">
      <x:c r="A13" s="3" t="s">
        <x:v>1</x:v>
      </x:c>
      <x:c r="B13" s="3" t="s">
        <x:v>210</x:v>
      </x:c>
      <x:c r="C13" s="3" t="s">
        <x:v>233</x:v>
      </x:c>
      <x:c r="D13" s="3" t="s">
        <x:v>234</x:v>
      </x:c>
      <x:c r="E13" s="3" t="s">
        <x:v>214</x:v>
      </x:c>
      <x:c r="F13" s="3" t="s">
        <x:v>44</x:v>
      </x:c>
      <x:c r="G13" s="3" t="s">
        <x:v>219</x:v>
      </x:c>
    </x:row>
    <x:row r="14" spans="1:7" ht="30.75" customHeight="1">
      <x:c r="A14" s="3" t="s">
        <x:v>46</x:v>
      </x:c>
      <x:c r="B14" s="3" t="s">
        <x:v>206</x:v>
      </x:c>
      <x:c r="C14" s="3" t="s">
        <x:v>205</x:v>
      </x:c>
      <x:c r="D14" s="3" t="s">
        <x:v>259</x:v>
      </x:c>
      <x:c r="E14" s="3" t="s">
        <x:v>16</x:v>
      </x:c>
      <x:c r="F14" s="3" t="s">
        <x:v>28</x:v>
      </x:c>
      <x:c r="G14" s="3" t="s">
        <x:v>190</x:v>
      </x:c>
    </x:row>
    <x:row r="15" spans="1:7" ht="30.75" customHeight="1">
      <x:c r="A15" s="3" t="s">
        <x:v>15</x:v>
      </x:c>
      <x:c r="B15" s="3" t="s">
        <x:v>239</x:v>
      </x:c>
      <x:c r="C15" s="3" t="s">
        <x:v>127</x:v>
      </x:c>
      <x:c r="D15" s="3" t="s">
        <x:v>216</x:v>
      </x:c>
      <x:c r="E15" s="3" t="s">
        <x:v>32</x:v>
      </x:c>
      <x:c r="F15" s="3" t="s">
        <x:v>235</x:v>
      </x:c>
      <x:c r="G15" s="3" t="s">
        <x:v>212</x:v>
      </x:c>
    </x:row>
    <x:row r="16" spans="1:7" ht="30.75" customHeight="1">
      <x:c r="A16" s="3" t="s">
        <x:v>114</x:v>
      </x:c>
      <x:c r="B16" s="3" t="s">
        <x:v>215</x:v>
      </x:c>
      <x:c r="C16" s="3" t="s">
        <x:v>35</x:v>
      </x:c>
      <x:c r="D16" s="3" t="s">
        <x:v>138</x:v>
      </x:c>
      <x:c r="E16" s="3" t="s">
        <x:v>197</x:v>
      </x:c>
      <x:c r="F16" s="5" t="s">
        <x:v>265</x:v>
      </x:c>
      <x:c r="G16" s="3" t="s">
        <x:v>183</x:v>
      </x:c>
    </x:row>
    <x:row r="17" ht="30.75" customHeight="1"/>
    <x:row r="18" spans="1:7" ht="30.75" customHeight="1">
      <x:c r="A18" s="57" t="s">
        <x:v>187</x:v>
      </x:c>
      <x:c r="B18" s="57"/>
      <x:c r="C18" s="57"/>
      <x:c r="D18" s="57"/>
      <x:c r="E18" s="57"/>
      <x:c r="F18" s="57"/>
      <x:c r="G18" s="57"/>
    </x:row>
    <x:row r="19" spans="1:7" ht="30.75" customHeight="1">
      <x:c r="A19" s="31" t="s">
        <x:v>112</x:v>
      </x:c>
      <x:c r="B19" s="31" t="s">
        <x:v>178</x:v>
      </x:c>
      <x:c r="C19" s="31" t="s">
        <x:v>168</x:v>
      </x:c>
      <x:c r="D19" s="31" t="s">
        <x:v>53</x:v>
      </x:c>
      <x:c r="E19" s="31" t="s">
        <x:v>95</x:v>
      </x:c>
      <x:c r="F19" s="31" t="s">
        <x:v>102</x:v>
      </x:c>
      <x:c r="G19" s="31" t="s">
        <x:v>96</x:v>
      </x:c>
    </x:row>
    <x:row r="20" spans="1:7" ht="30.75" customHeight="1">
      <x:c r="A20" s="4" t="s">
        <x:v>120</x:v>
      </x:c>
      <x:c r="B20" s="4" t="s">
        <x:v>56</x:v>
      </x:c>
      <x:c r="C20" s="4" t="s">
        <x:v>188</x:v>
      </x:c>
      <x:c r="D20" s="4" t="s">
        <x:v>54</x:v>
      </x:c>
      <x:c r="E20" s="4" t="s">
        <x:v>121</x:v>
      </x:c>
      <x:c r="F20" s="4" t="s">
        <x:v>231</x:v>
      </x:c>
      <x:c r="G20" s="4" t="s">
        <x:v>59</x:v>
      </x:c>
    </x:row>
    <x:row r="21" spans="1:7" ht="30.75" customHeight="1">
      <x:c r="A21" s="4" t="s">
        <x:v>113</x:v>
      </x:c>
      <x:c r="B21" s="4" t="s">
        <x:v>180</x:v>
      </x:c>
      <x:c r="C21" s="4" t="s">
        <x:v>185</x:v>
      </x:c>
      <x:c r="D21" s="4" t="s">
        <x:v>52</x:v>
      </x:c>
      <x:c r="E21" s="4" t="s">
        <x:v>58</x:v>
      </x:c>
      <x:c r="F21" s="4" t="s">
        <x:v>270</x:v>
      </x:c>
      <x:c r="G21" s="4" t="s">
        <x:v>257</x:v>
      </x:c>
    </x:row>
    <x:row r="22" spans="1:7" ht="30.75" customHeight="1">
      <x:c r="A22" s="4" t="s">
        <x:v>108</x:v>
      </x:c>
      <x:c r="B22" s="4" t="s">
        <x:v>60</x:v>
      </x:c>
      <x:c r="C22" s="4" t="s">
        <x:v>230</x:v>
      </x:c>
      <x:c r="D22" s="4" t="s">
        <x:v>55</x:v>
      </x:c>
      <x:c r="E22" s="4" t="s">
        <x:v>57</x:v>
      </x:c>
      <x:c r="F22" s="4" t="s">
        <x:v>237</x:v>
      </x:c>
      <x:c r="G22" s="4" t="s">
        <x:v>116</x:v>
      </x:c>
    </x:row>
    <x:row r="23" ht="30.75" customHeight="1"/>
    <x:row r="24" ht="30.75" customHeight="1"/>
    <x:row r="25" ht="30.75" customHeight="1"/>
    <x:row r="26" ht="30.75" customHeight="1"/>
    <x:row r="27" ht="30.75" customHeight="1"/>
    <x:row r="28" ht="30.75" customHeight="1"/>
    <x:row r="29" ht="30.75" customHeight="1"/>
    <x:row r="30" ht="30.75" customHeight="1"/>
    <x:row r="31" ht="30.75" customHeight="1"/>
    <x:row r="32" ht="30.75" customHeight="1"/>
    <x:row r="33" ht="30.75" customHeight="1"/>
    <x:row r="34" ht="30.75" customHeight="1"/>
    <x:row r="35" ht="30.75" customHeight="1"/>
    <x:row r="36" ht="30.75" customHeight="1"/>
    <x:row r="37" ht="30.75" customHeight="1"/>
    <x:row r="38" ht="30.75" customHeight="1"/>
  </x:sheetData>
  <x:mergeCells count="3">
    <x:mergeCell ref="A1:G1"/>
    <x:mergeCell ref="A10:G10"/>
    <x:mergeCell ref="A18:G18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K19"/>
  <x:sheetViews>
    <x:sheetView tabSelected="1" topLeftCell="A1" zoomScale="70" zoomScaleNormal="70" zoomScaleSheetLayoutView="70" workbookViewId="0">
      <x:selection activeCell="R53" activeCellId="0" sqref="R53:R53"/>
    </x:sheetView>
  </x:sheetViews>
  <x:sheetFormatPr defaultColWidth="9" defaultRowHeight="13.19999999999999928946" customHeight="1"/>
  <x:cols>
    <x:col min="1" max="2" width="30.0625" style="1" customWidth="1"/>
    <x:col min="3" max="3" width="5.4375" style="1" customWidth="1"/>
    <x:col min="4" max="4" width="33.4375" style="1" customWidth="1"/>
    <x:col min="5" max="5" width="25.4375" style="1" customWidth="1"/>
    <x:col min="6" max="6" width="9" style="1"/>
    <x:col min="7" max="7" width="22.125" style="1" customWidth="1"/>
    <x:col min="8" max="8" width="19.25" style="1" customWidth="1"/>
    <x:col min="9" max="9" width="5.4375" style="1" customWidth="1"/>
    <x:col min="10" max="10" width="19.6875" style="1" customWidth="1"/>
    <x:col min="11" max="11" width="13.875" style="1" customWidth="1"/>
    <x:col min="12" max="16384" width="9" style="1"/>
  </x:cols>
  <x:sheetData>
    <x:row r="1" spans="1:11" ht="30.39999999999999857891" customHeight="1">
      <x:c r="A1" s="58" t="s">
        <x:v>42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</x:row>
    <x:row r="2" spans="1:11" ht="30.39999999999999857891" customHeight="1">
      <x:c r="A2" s="60" t="s">
        <x:v>137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 ht="15.75" customHeight="1"/>
    <x:row r="4" spans="1:11" ht="30.75" customHeight="1">
      <x:c r="A4" s="56" t="s">
        <x:v>24</x:v>
      </x:c>
      <x:c r="B4" s="56"/>
      <x:c r="C4" s="61"/>
      <x:c r="D4" s="56"/>
      <x:c r="E4" s="56"/>
      <x:c r="G4" s="57" t="s">
        <x:v>5</x:v>
      </x:c>
      <x:c r="H4" s="57"/>
      <x:c r="I4" s="57"/>
      <x:c r="J4" s="57"/>
      <x:c r="K4" s="57"/>
    </x:row>
    <x:row r="5" spans="1:11" ht="30.75" customHeight="1">
      <x:c r="A5" s="14" t="s">
        <x:v>110</x:v>
      </x:c>
      <x:c r="B5" s="15" t="s">
        <x:v>142</x:v>
      </x:c>
      <x:c r="C5" s="16"/>
      <x:c r="D5" s="17" t="s">
        <x:v>73</x:v>
      </x:c>
      <x:c r="E5" s="14" t="s">
        <x:v>144</x:v>
      </x:c>
      <x:c r="G5" s="18" t="s">
        <x:v>110</x:v>
      </x:c>
      <x:c r="H5" s="18" t="s">
        <x:v>142</x:v>
      </x:c>
      <x:c r="I5" s="19"/>
      <x:c r="J5" s="18" t="s">
        <x:v>73</x:v>
      </x:c>
      <x:c r="K5" s="18" t="s">
        <x:v>144</x:v>
      </x:c>
    </x:row>
    <x:row r="6" spans="1:11" ht="30.75" customHeight="1">
      <x:c r="A6" s="3" t="s">
        <x:v>70</x:v>
      </x:c>
      <x:c r="B6" s="8">
        <x:v>0</x:v>
      </x:c>
      <x:c r="C6" s="9"/>
      <x:c r="D6" s="7" t="s">
        <x:v>135</x:v>
      </x:c>
      <x:c r="E6" s="3" t="str">
        <x:f>VLOOKUP(B8,'01_시스템데이터'!$A$18:$D$22,3,FALSE)</x:f>
        <x:v>오염도</x:v>
      </x:c>
      <x:c r="G6" s="4" t="s">
        <x:v>51</x:v>
      </x:c>
      <x:c r="H6" s="4" t="s">
        <x:v>161</x:v>
      </x:c>
      <x:c r="I6" s="2"/>
      <x:c r="J6" s="4" t="s">
        <x:v>23</x:v>
      </x:c>
      <x:c r="K6" s="4">
        <x:f>IFERROR(VLOOKUP(H6,'01_시스템데이터'!$B$3:$D$6,3,0),IFERROR(VLOOKUP(H6,'01_시스템데이터'!$A$10:$E$12,5,0),VLOOKUP(H6,'01_시스템데이터'!$A$33:$B$38,2,0)))</x:f>
        <x:v>0</x:v>
      </x:c>
    </x:row>
    <x:row r="7" spans="1:11" ht="30.75" customHeight="1">
      <x:c r="A7" s="3" t="s">
        <x:v>75</x:v>
      </x:c>
      <x:c r="B7" s="8" t="s">
        <x:v>134</x:v>
      </x:c>
      <x:c r="C7" s="9"/>
      <x:c r="D7" s="12" t="s">
        <x:v>10</x:v>
      </x:c>
      <x:c r="E7" s="3">
        <x:f>VLOOKUP(B7,'01_시스템데이터'!$B$3:$E$6,4,FALSE)</x:f>
        <x:v>0.5</x:v>
      </x:c>
      <x:c r="G7" s="4" t="s">
        <x:v>132</x:v>
      </x:c>
      <x:c r="H7" s="4" t="s">
        <x:v>104</x:v>
      </x:c>
      <x:c r="I7" s="2"/>
      <x:c r="J7" s="4" t="s">
        <x:v>93</x:v>
      </x:c>
      <x:c r="K7" s="4">
        <x:f>VLOOKUP(H7,'01_시스템데이터'!$A$42:$E$43,4,FALSE)</x:f>
        <x:v>1.5</x:v>
      </x:c>
    </x:row>
    <x:row r="8" spans="1:11" ht="30.75" customHeight="1">
      <x:c r="A8" s="3" t="s">
        <x:v>145</x:v>
      </x:c>
      <x:c r="B8" s="8" t="s">
        <x:v>119</x:v>
      </x:c>
      <x:c r="C8" s="9"/>
      <x:c r="D8" s="12" t="s">
        <x:v>220</x:v>
      </x:c>
      <x:c r="E8" s="3">
        <x:f>VLOOKUP(B8,'01_시스템데이터'!$A$18:$D$22,4,FALSE)</x:f>
        <x:v>25</x:v>
      </x:c>
      <x:c r="G8" s="4" t="s">
        <x:v>202</x:v>
      </x:c>
      <x:c r="H8" s="4">
        <x:v>3</x:v>
      </x:c>
      <x:c r="I8" s="2"/>
      <x:c r="J8" s="4" t="s">
        <x:v>13</x:v>
      </x:c>
      <x:c r="K8" s="4">
        <x:f>VLOOKUP(H7,'01_시스템데이터'!$A$42:$E$43,5,FALSE)</x:f>
        <x:v>14</x:v>
      </x:c>
    </x:row>
    <x:row r="9" spans="1:11" ht="30.75" customHeight="1">
      <x:c r="A9" s="3" t="s">
        <x:v>67</x:v>
      </x:c>
      <x:c r="B9" s="8">
        <x:v>20</x:v>
      </x:c>
      <x:c r="C9" s="9"/>
      <x:c r="D9" s="7" t="s">
        <x:v>282</x:v>
      </x:c>
      <x:c r="E9" s="3">
        <x:f>IF(OR(E7="",E8=""),"",E7*E8)</x:f>
        <x:v>12.5</x:v>
      </x:c>
      <x:c r="G9" s="4"/>
      <x:c r="H9" s="4"/>
      <x:c r="I9" s="2"/>
      <x:c r="J9" s="4" t="s">
        <x:v>182</x:v>
      </x:c>
      <x:c r="K9" s="4">
        <x:f>IF(OR(K6="",K7="",K8=""),"",MIN(K6*K7,K8))</x:f>
        <x:v>0</x:v>
      </x:c>
    </x:row>
    <x:row r="10" spans="1:11" ht="30.75" customHeight="1">
      <x:c r="A10" s="3" t="s">
        <x:v>74</x:v>
      </x:c>
      <x:c r="B10" s="8">
        <x:v>10</x:v>
      </x:c>
      <x:c r="C10" s="9"/>
      <x:c r="D10" s="7" t="s">
        <x:v>242</x:v>
      </x:c>
      <x:c r="E10" s="3" t="str">
        <x:f>IF(B7="들숨",MAX(0,(100-B6)/VLOOKUP(B7,'01_시스템데이터'!$B$3:$C$6,2,FALSE))+VLOOKUP("과흡입",'01_시스템데이터'!$A$10:$C$12,3,FALSE),IF(VLOOKUP(B7,'01_시스템데이터'!$B$3:$C$6,2,FALSE)&lt;0,B6/ABS(VLOOKUP(B7,'01_시스템데이터'!$B$3:$C$6,2,FALSE)),""))</x:f>
        <x:v/>
      </x:c>
      <x:c r="G10" s="4"/>
      <x:c r="H10" s="4"/>
      <x:c r="I10" s="2"/>
      <x:c r="J10" s="4" t="s">
        <x:v>130</x:v>
      </x:c>
      <x:c r="K10" s="20" t="str">
        <x:f>IF(H6="","행동 선택 필요",IF(H7="","적 유형 선택 필요",IF(H8="","거리 입력 필요",IF(K9="","계산 조건 확인",IF(H8&lt;=K9,"감지","미감지")))))</x:f>
        <x:v>미감지</x:v>
      </x:c>
    </x:row>
    <x:row r="11" spans="1:5" ht="30.75" customHeight="1">
      <x:c r="A11" s="3" t="s">
        <x:v>22</x:v>
      </x:c>
      <x:c r="B11" s="8">
        <x:v>1</x:v>
      </x:c>
      <x:c r="C11" s="9"/>
      <x:c r="D11" s="7" t="s">
        <x:v>218</x:v>
      </x:c>
      <x:c r="E11" s="3" t="str">
        <x:f>IF(AND(E6="자극도",E9&gt;0),MAX(0,(100-B9)/E9),"")</x:f>
        <x:v/>
      </x:c>
    </x:row>
    <x:row r="12" spans="1:11" ht="30.75" customHeight="1">
      <x:c r="A12" s="3" t="s">
        <x:v>38</x:v>
      </x:c>
      <x:c r="B12" s="3">
        <x:v>5</x:v>
      </x:c>
      <x:c r="D12" s="3" t="s">
        <x:v>229</x:v>
      </x:c>
      <x:c r="E12" s="3">
        <x:f>IF(AND(E6="오염도",E9&gt;0),MAX(0,(50-B10)/E9),"")</x:f>
        <x:v>3.2000000000000002</x:v>
      </x:c>
      <x:c r="G12" s="62" t="s">
        <x:v>247</x:v>
      </x:c>
      <x:c r="H12" s="62"/>
      <x:c r="I12" s="62"/>
      <x:c r="J12" s="62"/>
      <x:c r="K12" s="62"/>
    </x:row>
    <x:row r="13" spans="4:5" ht="30.75" customHeight="1">
      <x:c r="D13" s="3" t="s">
        <x:v>232</x:v>
      </x:c>
      <x:c r="E13" s="3">
        <x:f>IF(AND(E6="오염도",E9&gt;0),MAX(0,(100-B10)/E9),"")</x:f>
        <x:v>7.2000000000000002</x:v>
      </x:c>
    </x:row>
    <x:row r="14" spans="1:5" ht="30.75" customHeight="1">
      <x:c r="A14" s="63" t="s">
        <x:v>254</x:v>
      </x:c>
      <x:c r="B14" s="63"/>
      <x:c r="D14" s="3" t="s">
        <x:v>241</x:v>
      </x:c>
      <x:c r="E14" s="3">
        <x:f>IF(E6="자극도",IF(E10="",E11,IF(E11="",E10,MIN(E10,E11))),IF(E6="오염도",IF(E10="",E12,IF(E12="",E10,MIN(E10,E12))),""))</x:f>
        <x:v>3.2000000000000002</x:v>
      </x:c>
    </x:row>
    <x:row r="15" spans="4:5" ht="30.75" customHeight="1">
      <x:c r="D15" s="3" t="s">
        <x:v>272</x:v>
      </x:c>
      <x:c r="E15" s="3">
        <x:f>IF(OR(B11="",E14=""),"",B11*E14)</x:f>
        <x:v>3.2000000000000002</x:v>
      </x:c>
    </x:row>
    <x:row r="16" spans="4:5" ht="30.75" customHeight="1">
      <x:c r="D16" s="3" t="s">
        <x:v>201</x:v>
      </x:c>
      <x:c r="E16" s="21" t="str">
        <x:f>IF(B11="","이동속도 입력 필요",IF(B12="","구간 거리 입력 필요",IF(E14="","계산 조건 확인",IF(E15&gt;=B12,"통과 가능","통과 불가능"))))</x:f>
        <x:v>통과 불가능</x:v>
      </x:c>
    </x:row>
    <x:row r="17" ht="15.75" customHeight="1"/>
    <x:row r="18" spans="1:5" ht="30.75" customHeight="1">
      <x:c r="A18" s="56" t="s">
        <x:v>274</x:v>
      </x:c>
      <x:c r="B18" s="56"/>
      <x:c r="C18" s="56"/>
      <x:c r="D18" s="56"/>
      <x:c r="E18" s="56"/>
    </x:row>
    <x:row r="19" spans="1:11" ht="30.75" customHeight="1">
      <x:c r="A19" s="64" t="s">
        <x:v>256</x:v>
      </x:c>
      <x:c r="B19" s="64"/>
      <x:c r="C19" s="64"/>
      <x:c r="D19" s="64"/>
      <x:c r="E19" s="64"/>
      <x:c r="F19" s="6"/>
      <x:c r="G19" s="65"/>
      <x:c r="H19" s="65"/>
      <x:c r="I19" s="65"/>
      <x:c r="J19" s="65"/>
      <x:c r="K19" s="65"/>
    </x:row>
    <x:row r="20" ht="30.75" customHeight="1"/>
    <x:row r="21" ht="30.75" customHeight="1"/>
    <x:row r="22" ht="30.75" customHeight="1"/>
    <x:row r="23" ht="30.75" customHeight="1"/>
    <x:row r="24" ht="30.75" customHeight="1"/>
    <x:row r="25" ht="30.75" customHeight="1"/>
    <x:row r="26" ht="30.75" customHeight="1"/>
    <x:row r="27" ht="30.75" customHeight="1"/>
  </x:sheetData>
  <x:mergeCells count="9">
    <x:mergeCell ref="A1:K1"/>
    <x:mergeCell ref="A2:K2"/>
    <x:mergeCell ref="A4:E4"/>
    <x:mergeCell ref="G4:K4"/>
    <x:mergeCell ref="G12:K12"/>
    <x:mergeCell ref="A14:B14"/>
    <x:mergeCell ref="A18:E18"/>
    <x:mergeCell ref="A19:E19"/>
    <x:mergeCell ref="G19:K19"/>
  </x:mergeCells>
  <x:conditionalFormatting sqref="E16:E16">
    <x:cfRule type="expression" dxfId="12" priority="4">
      <x:formula>$E$16="통과 가능"</x:formula>
    </x:cfRule>
  </x:conditionalFormatting>
  <x:conditionalFormatting sqref="E16:E16">
    <x:cfRule type="expression" dxfId="13" priority="3">
      <x:formula>$E$16="통과 불가능"</x:formula>
    </x:cfRule>
  </x:conditionalFormatting>
  <x:conditionalFormatting sqref="K10:K10">
    <x:cfRule type="expression" dxfId="14" priority="2">
      <x:formula>$K$10="감지"</x:formula>
    </x:cfRule>
  </x:conditionalFormatting>
  <x:conditionalFormatting sqref="K10:K10">
    <x:cfRule type="expression" dxfId="15" priority="1">
      <x:formula>$K$10="미감지"</x:formula>
    </x:cfRule>
  </x:conditionalFormatting>
  <x:dataValidations count="7">
    <x:dataValidation type="decimal" allowBlank="1" showInputMessage="1" showErrorMessage="1" sqref="B9:C10 B6:C6">
      <x:formula1>0</x:formula1>
      <x:formula2>100</x:formula2>
    </x:dataValidation>
    <x:dataValidation type="decimal" operator="greaterThan" allowBlank="1" showInputMessage="1" showErrorMessage="1" sqref="B11:C12 B25:C25 H8:I8">
      <x:formula1>0</x:formula1>
    </x:dataValidation>
    <x:dataValidation type="list" operator="equal" allowBlank="1" showInputMessage="1" showErrorMessage="1" sqref="B23:C23 I6:I6">
      <x:formula1>"평상 호흡, 들숨, 숨 참기, 날숨, 과흡입·강제 호흡, 웅크려 이동, 걷기, 사다리 이동, 수영, 달리기, 점프"</x:formula1>
    </x:dataValidation>
    <x:dataValidation type="list" operator="equal" allowBlank="1" showInputMessage="1" showErrorMessage="1" sqref="B24:C24 H7:I7">
      <x:formula1>"일반 인형, 눈 없는 인형"</x:formula1>
    </x:dataValidation>
    <x:dataValidation type="list" operator="equal" allowBlank="1" showInputMessage="1" showErrorMessage="1" sqref="B7:B7">
      <x:formula1>"평상 호흡, 들숨, 참기, 날숨"</x:formula1>
    </x:dataValidation>
    <x:dataValidation type="list" operator="equal" allowBlank="1" showInputMessage="1" showErrorMessage="1" sqref="H6:H6">
      <x:formula1>"평상 호흡, 들숨, 참기, 날숨, 과흡입, 참기 강제 호흡, 날숨 강제 호흡, 웅크려 이동, 걷기, 사다리 이동, 수영, 달리기, 점프 착지"</x:formula1>
    </x:dataValidation>
    <x:dataValidation type="list" operator="equal" allowBlank="1" showInputMessage="1" showErrorMessage="1" sqref="B8:B8">
      <x:formula1>"먼지, 꽃가루, 연기, 유해 연기, 독가스"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01_시스템데이터</vt:lpstr>
      <vt:lpstr>02_콘텐츠적용</vt:lpstr>
      <vt:lpstr>03_계산검증</vt:lpstr>
    </vt:vector>
  </ep:TitlesOfParts>
  <ep:TotalTime>760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56</cp:revision>
  <dcterms:created xsi:type="dcterms:W3CDTF">2015-06-05T18:19:34.000</dcterms:created>
  <dcterms:modified xsi:type="dcterms:W3CDTF">2026-10-07T14:15:45.277</dcterms:modified>
  <cp:version>1200.0100.01</cp:version>
</cp:coreProperties>
</file>